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HP 820\OneDrive\المستندات\"/>
    </mc:Choice>
  </mc:AlternateContent>
  <xr:revisionPtr revIDLastSave="0" documentId="8_{C9F16149-900B-4021-8EBD-E9EE33AE2AAE}" xr6:coauthVersionLast="47" xr6:coauthVersionMax="47" xr10:uidLastSave="{00000000-0000-0000-0000-000000000000}"/>
  <bookViews>
    <workbookView xWindow="-120" yWindow="-120" windowWidth="20730" windowHeight="11040" firstSheet="4" activeTab="7" xr2:uid="{8A18F28C-85DF-4BF0-8C78-D6A4050B0777}"/>
  </bookViews>
  <sheets>
    <sheet name="Academy" sheetId="1" r:id="rId1"/>
    <sheet name="Box Office" sheetId="2" r:id="rId2"/>
    <sheet name="Genre" sheetId="3" r:id="rId3"/>
    <sheet name="Pixar Films" sheetId="4" r:id="rId4"/>
    <sheet name="Pixar People" sheetId="5" r:id="rId5"/>
    <sheet name="People Response" sheetId="6" r:id="rId6"/>
    <sheet name="pivot tables" sheetId="7" r:id="rId7"/>
    <sheet name="D" sheetId="8" r:id="rId8"/>
  </sheets>
  <definedNames>
    <definedName name="_xlcn.WorksheetConnection_PixarWin.xlsxTable_academy1" hidden="1">Table_academy[]</definedName>
    <definedName name="_xlcn.WorksheetConnection_PixarWin.xlsxTable_pixar_films1" hidden="1">Table_pixar_films[]</definedName>
    <definedName name="_xlcn.WorksheetConnection_PixarWin.xlsxTable_public_response1" hidden="1">Table_public_response[]</definedName>
    <definedName name="academy" localSheetId="0" hidden="1">Academy!$A$1:$C$90</definedName>
    <definedName name="box_office" localSheetId="1" hidden="1">'Box Office'!$A$1:$E$29</definedName>
    <definedName name="genres" localSheetId="2" hidden="1">Genre!$A$1:$C$205</definedName>
    <definedName name="pixar_films" localSheetId="3" hidden="1">'Pixar Films'!$A$1:$J$29</definedName>
    <definedName name="pixar_people" localSheetId="4" hidden="1">'Pixar People'!$A$1:$C$261</definedName>
    <definedName name="public_response" localSheetId="5" hidden="1">'People Response'!$A$1:$H$29</definedName>
  </definedNames>
  <calcPr calcId="191029"/>
  <pivotCaches>
    <pivotCache cacheId="3" r:id="rId9"/>
    <pivotCache cacheId="4" r:id="rId10"/>
    <pivotCache cacheId="5" r:id="rId11"/>
    <pivotCache cacheId="6" r:id="rId12"/>
    <pivotCache cacheId="7" r:id="rId13"/>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_public_response" name="Table_public_response" connection="WorksheetConnection_PixarWin.xlsx!Table_public_response"/>
          <x15:modelTable id="Table_pixar_films" name="Table_pixar_films" connection="WorksheetConnection_PixarWin.xlsx!Table_pixar_films"/>
          <x15:modelTable id="Table_academy" name="Table_academy" connection="WorksheetConnection_PixarWin.xlsx!Table_academy"/>
          <x15:modelTable id="public_response" name="public_response" connection="public_response"/>
          <x15:modelTable id="pixar_people" name="pixar_people" connection="pixar_people"/>
          <x15:modelTable id="pixar_films" name="pixar_films" connection="pixar_films"/>
          <x15:modelTable id="genres" name="genres" connection="genres"/>
          <x15:modelTable id="box_office" name="box_office" connection="box_office"/>
          <x15:modelTable id="academy" name="academy" connection="academy"/>
        </x15:modelTables>
        <x15:modelRelationships>
          <x15:modelRelationship fromTable="academy" fromColumn="film" toTable="public_response" toColumn="film"/>
          <x15:modelRelationship fromTable="academy" fromColumn="film" toTable="Table_public_response" toColumn="film"/>
          <x15:modelRelationship fromTable="box_office" fromColumn="film" toTable="pixar_films" toColumn="film"/>
          <x15:modelRelationship fromTable="genres" fromColumn="film" toTable="pixar_films" toColumn="film"/>
          <x15:modelRelationship fromTable="public_response" fromColumn="film" toTable="box_office" toColumn="film"/>
          <x15:modelRelationship fromTable="Table_academy" fromColumn="film" toTable="Table_public_response" toColumn="film"/>
        </x15:modelRelationships>
        <x15:extLst>
          <ext xmlns:x16="http://schemas.microsoft.com/office/spreadsheetml/2014/11/main" uri="{9835A34E-60A6-4A7C-AAB8-D5F71C897F49}">
            <x16:modelTimeGroupings>
              <x16:modelTimeGrouping tableName="pixar_films" columnName="release_date" columnId="release_date">
                <x16:calculatedTimeColumn columnName="release_date (Year)" columnId="release_date (Year)" contentType="years" isSelected="1"/>
                <x16:calculatedTimeColumn columnName="release_date (Quarter)" columnId="release_date (Quarter)" contentType="quarters" isSelected="1"/>
                <x16:calculatedTimeColumn columnName="release_date (Month Index)" columnId="release_date (Month Index)" contentType="monthsindex" isSelected="1"/>
                <x16:calculatedTimeColumn columnName="release_date (Month)" columnId="release_date (Month)" contentType="months" isSelected="1"/>
              </x16:modelTimeGrouping>
              <x16:modelTimeGrouping tableName="Table_pixar_films" columnName="release_date" columnId="release_date">
                <x16:calculatedTimeColumn columnName="release_date (Year)1" columnId="release_date (Year)1" contentType="years" isSelected="1"/>
                <x16:calculatedTimeColumn columnName="release_date (Quarter)" columnId="release_date (Quarter)" contentType="quarters" isSelected="1"/>
                <x16:calculatedTimeColumn columnName="release_date (Month Index)" columnId="release_date (Month Index)" contentType="monthsindex" isSelected="1"/>
                <x16:calculatedTimeColumn columnName="release_date (Month)" columnId="release_date (Month)" contentType="months" isSelected="1"/>
              </x16:modelTimeGrouping>
            </x16:modelTimeGroupings>
          </ext>
        </x15:extLst>
      </x15:dataModel>
    </ext>
  </extLst>
</workbook>
</file>

<file path=xl/calcChain.xml><?xml version="1.0" encoding="utf-8"?>
<calcChain xmlns="http://schemas.openxmlformats.org/spreadsheetml/2006/main">
  <c r="K2" i="4" l="1"/>
  <c r="K3" i="4"/>
  <c r="K4" i="4"/>
  <c r="K5" i="4"/>
  <c r="K6" i="4"/>
  <c r="K7" i="4"/>
  <c r="K8" i="4"/>
  <c r="K9" i="4"/>
  <c r="K10" i="4"/>
  <c r="K11" i="4"/>
  <c r="K12" i="4"/>
  <c r="K13" i="4"/>
  <c r="K14" i="4"/>
  <c r="K15" i="4"/>
  <c r="K16" i="4"/>
  <c r="K17" i="4"/>
  <c r="K18" i="4"/>
  <c r="K19" i="4"/>
  <c r="K20" i="4"/>
  <c r="K21" i="4"/>
  <c r="K22" i="4"/>
  <c r="K23" i="4"/>
  <c r="K24" i="4"/>
  <c r="K25" i="4"/>
  <c r="K26" i="4"/>
  <c r="L26" i="4" s="1"/>
  <c r="K27" i="4"/>
  <c r="K28" i="4"/>
  <c r="L28" i="4" s="1"/>
  <c r="K29" i="4"/>
  <c r="L2" i="4"/>
  <c r="L3" i="4"/>
  <c r="L4" i="4"/>
  <c r="L5" i="4"/>
  <c r="L6" i="4"/>
  <c r="L7" i="4"/>
  <c r="L8" i="4"/>
  <c r="L9" i="4"/>
  <c r="L10" i="4"/>
  <c r="L11" i="4"/>
  <c r="L12" i="4"/>
  <c r="L13" i="4"/>
  <c r="L14" i="4"/>
  <c r="L15" i="4"/>
  <c r="L16" i="4"/>
  <c r="L17" i="4"/>
  <c r="L18" i="4"/>
  <c r="L19" i="4"/>
  <c r="L20" i="4"/>
  <c r="L21" i="4"/>
  <c r="L22" i="4"/>
  <c r="L23" i="4"/>
  <c r="L24" i="4"/>
  <c r="L25" i="4"/>
  <c r="L27" i="4"/>
  <c r="L29"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604CEF-1D0A-485D-83C4-736661051B37}" name="academy" type="103" refreshedVersion="7" minRefreshableVersion="5">
    <extLst>
      <ext xmlns:x15="http://schemas.microsoft.com/office/spreadsheetml/2010/11/main" uri="{DE250136-89BD-433C-8126-D09CA5730AF9}">
        <x15:connection id="academy" autoDelete="1">
          <x15:textPr codePage="437" sourceFile="C:\Users\HP 820\OneDrive\المستندات\MySql tutorial\Pixar+Films\academy.csv" tab="0" comma="1">
            <textFields count="3">
              <textField/>
              <textField/>
              <textField/>
            </textFields>
          </x15:textPr>
          <x15:modelTextPr headers="1"/>
        </x15:connection>
      </ext>
    </extLst>
  </connection>
  <connection id="2" xr16:uid="{F5AF91A7-E314-45C9-AC04-DB13D12D9C33}" name="box_office" type="103" refreshedVersion="7" minRefreshableVersion="5">
    <extLst>
      <ext xmlns:x15="http://schemas.microsoft.com/office/spreadsheetml/2010/11/main" uri="{DE250136-89BD-433C-8126-D09CA5730AF9}">
        <x15:connection id="box_office" autoDelete="1">
          <x15:textPr codePage="437" sourceFile="C:\Users\HP 820\OneDrive\المستندات\MySql tutorial\Pixar+Films\box_office.csv" tab="0" comma="1">
            <textFields count="5">
              <textField/>
              <textField/>
              <textField/>
              <textField/>
              <textField/>
            </textFields>
          </x15:textPr>
          <x15:modelTextPr headers="1"/>
        </x15:connection>
      </ext>
    </extLst>
  </connection>
  <connection id="3" xr16:uid="{56A2DF66-E6C0-4CA5-9AEB-9758ADE950E3}" name="genres" type="103" refreshedVersion="7" minRefreshableVersion="5">
    <extLst>
      <ext xmlns:x15="http://schemas.microsoft.com/office/spreadsheetml/2010/11/main" uri="{DE250136-89BD-433C-8126-D09CA5730AF9}">
        <x15:connection id="genres" autoDelete="1">
          <x15:textPr codePage="437" sourceFile="C:\Users\HP 820\OneDrive\المستندات\MySql tutorial\Pixar+Films\genres.csv" tab="0" comma="1">
            <textFields count="3">
              <textField/>
              <textField/>
              <textField/>
            </textFields>
          </x15:textPr>
          <x15:modelTextPr headers="1"/>
        </x15:connection>
      </ext>
    </extLst>
  </connection>
  <connection id="4" xr16:uid="{4D7DD702-9A98-4E13-8259-94C7980C1046}" keepAlive="1" name="ModelConnection_academy" description="Data Model" type="5" refreshedVersion="7" minRefreshableVersion="5" saveData="1">
    <dbPr connection="Data Model Connection" command="academy" commandType="3"/>
    <extLst>
      <ext xmlns:x15="http://schemas.microsoft.com/office/spreadsheetml/2010/11/main" uri="{DE250136-89BD-433C-8126-D09CA5730AF9}">
        <x15:connection id="" model="1"/>
      </ext>
    </extLst>
  </connection>
  <connection id="5" xr16:uid="{2F242498-67F7-4FD7-9BDF-4CA3F833ADD0}" keepAlive="1" name="ModelConnection_box_office" description="Data Model" type="5" refreshedVersion="7" minRefreshableVersion="5" saveData="1">
    <dbPr connection="Data Model Connection" command="box_office" commandType="3"/>
    <extLst>
      <ext xmlns:x15="http://schemas.microsoft.com/office/spreadsheetml/2010/11/main" uri="{DE250136-89BD-433C-8126-D09CA5730AF9}">
        <x15:connection id="" model="1"/>
      </ext>
    </extLst>
  </connection>
  <connection id="6" xr16:uid="{F1EE2D34-50F5-4A46-BC71-5DA74AC8AD76}" keepAlive="1" name="ModelConnection_genres" description="Data Model" type="5" refreshedVersion="7" minRefreshableVersion="5" saveData="1">
    <dbPr connection="Data Model Connection" command="genres" commandType="3"/>
    <extLst>
      <ext xmlns:x15="http://schemas.microsoft.com/office/spreadsheetml/2010/11/main" uri="{DE250136-89BD-433C-8126-D09CA5730AF9}">
        <x15:connection id="" model="1"/>
      </ext>
    </extLst>
  </connection>
  <connection id="7" xr16:uid="{51DF9043-B705-41DD-B6E0-C24647B3022F}" keepAlive="1" name="ModelConnection_pixar_films" description="Data Model" type="5" refreshedVersion="7" minRefreshableVersion="5" saveData="1">
    <dbPr connection="Data Model Connection" command="pixar_films" commandType="3"/>
    <extLst>
      <ext xmlns:x15="http://schemas.microsoft.com/office/spreadsheetml/2010/11/main" uri="{DE250136-89BD-433C-8126-D09CA5730AF9}">
        <x15:connection id="" model="1"/>
      </ext>
    </extLst>
  </connection>
  <connection id="8" xr16:uid="{4766BBE0-C323-4C49-A226-9BA3D95A18DC}" keepAlive="1" name="ModelConnection_pixar_people" description="Data Model" type="5" refreshedVersion="7" minRefreshableVersion="5" saveData="1">
    <dbPr connection="Data Model Connection" command="pixar_people" commandType="3"/>
    <extLst>
      <ext xmlns:x15="http://schemas.microsoft.com/office/spreadsheetml/2010/11/main" uri="{DE250136-89BD-433C-8126-D09CA5730AF9}">
        <x15:connection id="" model="1"/>
      </ext>
    </extLst>
  </connection>
  <connection id="9" xr16:uid="{363102DF-2647-4B71-84B4-3861E11FDB5C}" keepAlive="1" name="ModelConnection_public_response" description="Data Model" type="5" refreshedVersion="7" minRefreshableVersion="5" saveData="1">
    <dbPr connection="Data Model Connection" command="public_response" commandType="3"/>
    <extLst>
      <ext xmlns:x15="http://schemas.microsoft.com/office/spreadsheetml/2010/11/main" uri="{DE250136-89BD-433C-8126-D09CA5730AF9}">
        <x15:connection id="" model="1"/>
      </ext>
    </extLst>
  </connection>
  <connection id="10" xr16:uid="{A031283C-08A9-4370-8E75-36D39B555648}" name="pixar_films" type="103" refreshedVersion="7" minRefreshableVersion="5">
    <extLst>
      <ext xmlns:x15="http://schemas.microsoft.com/office/spreadsheetml/2010/11/main" uri="{DE250136-89BD-433C-8126-D09CA5730AF9}">
        <x15:connection id="pixar_films" autoDelete="1">
          <x15:textPr codePage="437" sourceFile="C:\Users\HP 820\OneDrive\المستندات\MySql tutorial\Pixar+Films\pixar_films.csv" tab="0" comma="1">
            <textFields count="6">
              <textField/>
              <textField/>
              <textField/>
              <textField/>
              <textField/>
              <textField/>
            </textFields>
          </x15:textPr>
          <x15:modelTextPr headers="1"/>
        </x15:connection>
      </ext>
    </extLst>
  </connection>
  <connection id="11" xr16:uid="{CE756A23-F652-4D27-9B55-75162ED5245F}" name="pixar_people" type="103" refreshedVersion="7" minRefreshableVersion="5">
    <extLst>
      <ext xmlns:x15="http://schemas.microsoft.com/office/spreadsheetml/2010/11/main" uri="{DE250136-89BD-433C-8126-D09CA5730AF9}">
        <x15:connection id="pixar_people" autoDelete="1">
          <x15:textPr sourceFile="C:\Users\HP 820\OneDrive\المستندات\MySql tutorial\Pixar+Films\pixar_people.csv" tab="0" comma="1">
            <textFields count="3">
              <textField/>
              <textField/>
              <textField/>
            </textFields>
          </x15:textPr>
          <x15:modelTextPr headers="1"/>
        </x15:connection>
      </ext>
    </extLst>
  </connection>
  <connection id="12" xr16:uid="{394E3337-044D-4D5D-BABC-092E90D70CB9}" name="public_response" type="103" refreshedVersion="7" minRefreshableVersion="5">
    <extLst>
      <ext xmlns:x15="http://schemas.microsoft.com/office/spreadsheetml/2010/11/main" uri="{DE250136-89BD-433C-8126-D09CA5730AF9}">
        <x15:connection id="public_response" autoDelete="1">
          <x15:textPr codePage="437" sourceFile="C:\Users\HP 820\OneDrive\المستندات\MySql tutorial\Pixar+Films\public_response.csv" tab="0" comma="1">
            <textFields count="8">
              <textField/>
              <textField/>
              <textField/>
              <textField/>
              <textField/>
              <textField/>
              <textField/>
              <textField/>
            </textFields>
          </x15:textPr>
          <x15:modelTextPr headers="1"/>
        </x15:connection>
      </ext>
    </extLst>
  </connection>
  <connection id="13" xr16:uid="{207E6264-DE8D-44A6-B059-2292AC7F15A4}"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4" xr16:uid="{12C4B6F6-E273-4493-B82B-647C6BF95BCA}" name="WorksheetConnection_PixarWin.xlsx!Table_academy" type="102" refreshedVersion="7" minRefreshableVersion="5">
    <extLst>
      <ext xmlns:x15="http://schemas.microsoft.com/office/spreadsheetml/2010/11/main" uri="{DE250136-89BD-433C-8126-D09CA5730AF9}">
        <x15:connection id="Table_academy">
          <x15:rangePr sourceName="_xlcn.WorksheetConnection_PixarWin.xlsxTable_academy1"/>
        </x15:connection>
      </ext>
    </extLst>
  </connection>
  <connection id="15" xr16:uid="{05A73E0B-AA2F-41B5-A215-8B24C97F369E}" name="WorksheetConnection_PixarWin.xlsx!Table_pixar_films" type="102" refreshedVersion="7" minRefreshableVersion="5">
    <extLst>
      <ext xmlns:x15="http://schemas.microsoft.com/office/spreadsheetml/2010/11/main" uri="{DE250136-89BD-433C-8126-D09CA5730AF9}">
        <x15:connection id="Table_pixar_films">
          <x15:rangePr sourceName="_xlcn.WorksheetConnection_PixarWin.xlsxTable_pixar_films1"/>
        </x15:connection>
      </ext>
    </extLst>
  </connection>
  <connection id="16" xr16:uid="{8F80E4A6-7E91-44BD-94F1-0CDA7F97B072}" name="WorksheetConnection_PixarWin.xlsx!Table_public_response" type="102" refreshedVersion="7" minRefreshableVersion="5">
    <extLst>
      <ext xmlns:x15="http://schemas.microsoft.com/office/spreadsheetml/2010/11/main" uri="{DE250136-89BD-433C-8126-D09CA5730AF9}">
        <x15:connection id="Table_public_response">
          <x15:rangePr sourceName="_xlcn.WorksheetConnection_PixarWin.xlsxTable_public_respons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Table_academy].[status].&amp;[Won],[Table_academy].[status].&amp;[Won Special Achievement]}"/>
    <s v="{[genres].[category].&amp;[Genre]}"/>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<sst xmlns="http://schemas.openxmlformats.org/spreadsheetml/2006/main" count="2103" uniqueCount="292">
  <si>
    <t>film</t>
  </si>
  <si>
    <t>award_type</t>
  </si>
  <si>
    <t>status</t>
  </si>
  <si>
    <t>Toy Story</t>
  </si>
  <si>
    <t>Animated Feature</t>
  </si>
  <si>
    <t>Award not yet introduced</t>
  </si>
  <si>
    <t>Original Screenplay</t>
  </si>
  <si>
    <t>Nominated</t>
  </si>
  <si>
    <t>Adapted Screenplay</t>
  </si>
  <si>
    <t>Ineligible</t>
  </si>
  <si>
    <t>Original Score</t>
  </si>
  <si>
    <t>Original Song</t>
  </si>
  <si>
    <t>Other</t>
  </si>
  <si>
    <t>Won Special Achievement</t>
  </si>
  <si>
    <t>A Bug's Life</t>
  </si>
  <si>
    <t>Toy Story 2</t>
  </si>
  <si>
    <t>Monsters, Inc.</t>
  </si>
  <si>
    <t>Won</t>
  </si>
  <si>
    <t>Sound Editing</t>
  </si>
  <si>
    <t>Finding Nemo</t>
  </si>
  <si>
    <t>The Incredibles</t>
  </si>
  <si>
    <t>Sound Mixing</t>
  </si>
  <si>
    <t>Cars</t>
  </si>
  <si>
    <t>Ratatouille</t>
  </si>
  <si>
    <t>WALL-E</t>
  </si>
  <si>
    <t>Up</t>
  </si>
  <si>
    <t>Best Picture</t>
  </si>
  <si>
    <t>Toy Story 3</t>
  </si>
  <si>
    <t>Cars 2</t>
  </si>
  <si>
    <t>Brave</t>
  </si>
  <si>
    <t>Monsters University</t>
  </si>
  <si>
    <t>Inside Out</t>
  </si>
  <si>
    <t>The Good Dinosaur</t>
  </si>
  <si>
    <t>Finding Dory</t>
  </si>
  <si>
    <t>Cars 3</t>
  </si>
  <si>
    <t>Coco</t>
  </si>
  <si>
    <t>Incredibles 2</t>
  </si>
  <si>
    <t>Toy Story 4</t>
  </si>
  <si>
    <t>Onward</t>
  </si>
  <si>
    <t>Soul</t>
  </si>
  <si>
    <t>Luca</t>
  </si>
  <si>
    <t>Turning Red</t>
  </si>
  <si>
    <t>Lightyear</t>
  </si>
  <si>
    <t>Elemental</t>
  </si>
  <si>
    <t>Inside Out 2</t>
  </si>
  <si>
    <t>budget</t>
  </si>
  <si>
    <t>box_office_us_canada</t>
  </si>
  <si>
    <t>box_office_other</t>
  </si>
  <si>
    <t>box_office_worldwide</t>
  </si>
  <si>
    <t>NA</t>
  </si>
  <si>
    <t>category</t>
  </si>
  <si>
    <t>value</t>
  </si>
  <si>
    <t>Genre</t>
  </si>
  <si>
    <t>Adventure</t>
  </si>
  <si>
    <t>Animation</t>
  </si>
  <si>
    <t>Comedy</t>
  </si>
  <si>
    <t>Subgenre</t>
  </si>
  <si>
    <t>Buddy Comedy</t>
  </si>
  <si>
    <t>Computer Animation</t>
  </si>
  <si>
    <t>Fantasy</t>
  </si>
  <si>
    <t>Supernatural Fantasy</t>
  </si>
  <si>
    <t>Urban Adventure</t>
  </si>
  <si>
    <t>Animal Adventure</t>
  </si>
  <si>
    <t>Quest</t>
  </si>
  <si>
    <t>Sea Adventure</t>
  </si>
  <si>
    <t>Action</t>
  </si>
  <si>
    <t>Superhero</t>
  </si>
  <si>
    <t>Motorsport</t>
  </si>
  <si>
    <t>Sport</t>
  </si>
  <si>
    <t>Family</t>
  </si>
  <si>
    <t>Adventure Epic</t>
  </si>
  <si>
    <t>Artificial Intelligence</t>
  </si>
  <si>
    <t>Dystopian Sci-Fi</t>
  </si>
  <si>
    <t>Sci-Fi</t>
  </si>
  <si>
    <t>Space Sci-Fi</t>
  </si>
  <si>
    <t>Coming-of-Age</t>
  </si>
  <si>
    <t>Globetrotting Adventure</t>
  </si>
  <si>
    <t>Car Action</t>
  </si>
  <si>
    <t>Crime</t>
  </si>
  <si>
    <t>Spy</t>
  </si>
  <si>
    <t>Fairy Tale</t>
  </si>
  <si>
    <t>Sword &amp; Sorcery</t>
  </si>
  <si>
    <t>Teen Adventure</t>
  </si>
  <si>
    <t>Dinosaur Adventure</t>
  </si>
  <si>
    <t>Drama</t>
  </si>
  <si>
    <t>Music</t>
  </si>
  <si>
    <t>Mystery</t>
  </si>
  <si>
    <t>Road Trip</t>
  </si>
  <si>
    <t>Fantasy Epic</t>
  </si>
  <si>
    <t>Teen Comedy</t>
  </si>
  <si>
    <t>Time Travel</t>
  </si>
  <si>
    <t>Romance</t>
  </si>
  <si>
    <t>Teen Drama</t>
  </si>
  <si>
    <t>number</t>
  </si>
  <si>
    <t>release_date</t>
  </si>
  <si>
    <t>run_time</t>
  </si>
  <si>
    <t>film_rating</t>
  </si>
  <si>
    <t>plot</t>
  </si>
  <si>
    <t>G</t>
  </si>
  <si>
    <t>A cowboy doll is profoundly threatened and jealous when a new spaceman action figure supplants him as top toy in a boy's bedroom.</t>
  </si>
  <si>
    <t>A misfit ant, looking for "warriors" to save his colony from greedy grasshoppers, recruits a group of bugs that turn out to be an inept circus troupe.</t>
  </si>
  <si>
    <t>When Woody is stolen by a toy collector, Buzz and his friends set out on a rescue mission to save Woody before he becomes a museum toy property with his roundup gang Jessie, Prospector, and Bullseye.</t>
  </si>
  <si>
    <t>In order to power the city, monsters have to scare children so that they scream. However, the children are toxic to the monsters, and after a child gets through, two monsters realize things may not be what they think.</t>
  </si>
  <si>
    <t>After his son is captured in the Great Barrier Reef and taken to Sydney, a timid clownfish sets out on a journey to bring him home.</t>
  </si>
  <si>
    <t>PG</t>
  </si>
  <si>
    <t>While trying to lead a quiet suburban life, a family of undercover superheroes are forced into action to save the world.</t>
  </si>
  <si>
    <t>On the way to the biggest race of his life, a hotshot rookie race car gets stranded in a rundown town and learns that winning isn't everything in life.</t>
  </si>
  <si>
    <t>A rat who can cook makes an unusual alliance with a young kitchen worker at a famous Paris restaurant.</t>
  </si>
  <si>
    <t>A robot who is responsible for cleaning a waste-covered Earth meets another robot and falls in love with her. Together, they set out on a journey that will alter the fate of mankind.</t>
  </si>
  <si>
    <t>78-year-old Carl Fredricksen travels to South America in his house equipped with balloons, inadvertently taking a young stowaway.</t>
  </si>
  <si>
    <t>The toys are mistakenly delivered to a day-care center instead of the attic right before Andy leaves for college, and it's up to Woody to convince the other toys that they weren't abandoned and to return home.</t>
  </si>
  <si>
    <t>Star race car Lightning McQueen and his pal Mater head overseas to compete in the World Grand Prix race. But the road to the championship becomes rocky as Mater gets caught up in an intriguing adventure of his own: international e...</t>
  </si>
  <si>
    <t>Determined to make her own path in life, Princess Merida defies a custom that brings chaos to her kingdom. Granted one wish, Merida must rely on her bravery and her archery skills to undo a beastly curse.</t>
  </si>
  <si>
    <t>A look at the relationship between Mike Wazowski and James P. "Sully" Sullivan during their days at Monsters University, when they weren't necessarily the best of friends.</t>
  </si>
  <si>
    <t>After young Riley is uprooted from her Midwest life and moved to San Francisco, her emotions - Joy, Fear, Anger, Disgust and Sadness - conflict on how best to navigate a new city, house, and school.</t>
  </si>
  <si>
    <t>In a world where dinosaurs and humans live side-by-side, an Apatosaurus named Arlo makes an unlikely human friend.</t>
  </si>
  <si>
    <t>Friendly but forgetful blue tang Dory begins a search for her long-lost parents and everyone learns a few things about the real meaning of family along the way.</t>
  </si>
  <si>
    <t>Lightning McQueen sets out to prove to a new generation of racers that he's still the best race car in the world.</t>
  </si>
  <si>
    <t>Aspiring musician Miguel, confronted with his family's ancestral ban on music, enters the Land of the Dead to find his great-great-grandfather, a legendary singer.</t>
  </si>
  <si>
    <t>The Incredibles family takes on a new mission which involves a change in family roles: Bob Parr (Mr. Incredible) must manage the house while his wife Helen (Elastigirl) goes out to save the world.</t>
  </si>
  <si>
    <t>When a new toy called "Forky" joins Woody and the gang, a road trip alongside old and new friends reveals how big the world can be for a toy.</t>
  </si>
  <si>
    <t>Teenage elf brothers Ian and Barley embark on a magical quest to spend one more day with their late father. Like any good adventure, their journey is filled with cryptic maps, impossible obstacles and unimaginable discoveries.</t>
  </si>
  <si>
    <t>Joe is a middle-school band teacher whose life hasn't quite gone the way he expected. His true passion is jazz. But when he travels to another realm to help someone find their passion, he soon discovers what it means to have soul.</t>
  </si>
  <si>
    <t>On the Italian Riviera, an unlikely but strong friendship grows between a human being and a sea monster disguised as a human.</t>
  </si>
  <si>
    <t>A thirteen-year-old girl named Mei Lee is torn between staying her mother's dutiful daughter and the changes of adolescence. And as if the challenges were not enough, whenever she gets overly excited she transforms into a giant re...</t>
  </si>
  <si>
    <t>While spending years attempting to return home, marooned Space Ranger Buzz Lightyear encounters an army of ruthless robots commanded by Zurg who are attempting to steal his fuel source.</t>
  </si>
  <si>
    <t>Follows Ember and Wade, in a city where fire-, water-, earth- and air-residents live together.</t>
  </si>
  <si>
    <t>A sequel that features Riley entering puberty and experiencing brand new, more complex emotions as a result. As Riley tries to adapt to her teenage years, her old emotions try to adapt to the possibility of being replaced.</t>
  </si>
  <si>
    <t>role_type</t>
  </si>
  <si>
    <t>name</t>
  </si>
  <si>
    <t>Director</t>
  </si>
  <si>
    <t>John Lasseter</t>
  </si>
  <si>
    <t>Musician</t>
  </si>
  <si>
    <t>Randy Newman</t>
  </si>
  <si>
    <t>Producer</t>
  </si>
  <si>
    <t>Bonnie Arnold</t>
  </si>
  <si>
    <t>Ralph Guggenheim</t>
  </si>
  <si>
    <t>Screenwriter</t>
  </si>
  <si>
    <t>Joel Cohen</t>
  </si>
  <si>
    <t>Alec Sokolow</t>
  </si>
  <si>
    <t>Andrew Stanton</t>
  </si>
  <si>
    <t>Joss Whedon</t>
  </si>
  <si>
    <t>Storywriter</t>
  </si>
  <si>
    <t>Pete Docter</t>
  </si>
  <si>
    <t>Joe Ranft</t>
  </si>
  <si>
    <t>Co-director</t>
  </si>
  <si>
    <t>Darla K. Anderson</t>
  </si>
  <si>
    <t>Kevin Reher</t>
  </si>
  <si>
    <t>Donald McEnery</t>
  </si>
  <si>
    <t>Bob Shaw</t>
  </si>
  <si>
    <t>Ash Brannon</t>
  </si>
  <si>
    <t>Lee Unkrich</t>
  </si>
  <si>
    <t>Karen Robert Jackson</t>
  </si>
  <si>
    <t>Helene Plotkin</t>
  </si>
  <si>
    <t>Doug Chamberlin</t>
  </si>
  <si>
    <t>Rita Hsiao</t>
  </si>
  <si>
    <t>Chris Webb</t>
  </si>
  <si>
    <t>David Silverman</t>
  </si>
  <si>
    <t>Dan Gerson</t>
  </si>
  <si>
    <t>Jill Culton</t>
  </si>
  <si>
    <t>Ralph Eggleston</t>
  </si>
  <si>
    <t>Jeff Pidgeon</t>
  </si>
  <si>
    <t>Thomas Newman</t>
  </si>
  <si>
    <t>Graham Walters</t>
  </si>
  <si>
    <t>Bob Peterson</t>
  </si>
  <si>
    <t>David Reynolds</t>
  </si>
  <si>
    <t>Brad Bird</t>
  </si>
  <si>
    <t>Michael Giacchino</t>
  </si>
  <si>
    <t>John Walker</t>
  </si>
  <si>
    <t>Dan Fogelman</t>
  </si>
  <si>
    <t>Jorgen Klubien</t>
  </si>
  <si>
    <t>Phil Lorin</t>
  </si>
  <si>
    <t>Kiel Murray</t>
  </si>
  <si>
    <t>Jan Pinkava</t>
  </si>
  <si>
    <t>Brad Lewis</t>
  </si>
  <si>
    <t>Jim Capobianco</t>
  </si>
  <si>
    <t>Jim Morris</t>
  </si>
  <si>
    <t>Jim Reardon</t>
  </si>
  <si>
    <t>Jonas Rivera</t>
  </si>
  <si>
    <t>Tom McCarthy</t>
  </si>
  <si>
    <t>Michael Arndt</t>
  </si>
  <si>
    <t>Denise Ream</t>
  </si>
  <si>
    <t>Ben Queen</t>
  </si>
  <si>
    <t>Mark Andrews</t>
  </si>
  <si>
    <t>Dan Scanlon</t>
  </si>
  <si>
    <t>Kori Rae</t>
  </si>
  <si>
    <t>Robert L. Baird</t>
  </si>
  <si>
    <t>Ronnie del Carmen</t>
  </si>
  <si>
    <t>Josh Cooley</t>
  </si>
  <si>
    <t>Meg LeFauve</t>
  </si>
  <si>
    <t>del Carmen</t>
  </si>
  <si>
    <t>Peter Sohn</t>
  </si>
  <si>
    <t>Mychael</t>
  </si>
  <si>
    <t>Jeff Danna</t>
  </si>
  <si>
    <t>Erik Benson</t>
  </si>
  <si>
    <t>Kelsey Mann</t>
  </si>
  <si>
    <t>Angus MacLane</t>
  </si>
  <si>
    <t>Lindsey Collins</t>
  </si>
  <si>
    <t>Victoria Strouse</t>
  </si>
  <si>
    <t>Brian Fee</t>
  </si>
  <si>
    <t>Mike Rich</t>
  </si>
  <si>
    <t>Eyal Podell</t>
  </si>
  <si>
    <t>Jonathan E. Stewart</t>
  </si>
  <si>
    <t>Adrian Molina</t>
  </si>
  <si>
    <t>Matthew Aldrich</t>
  </si>
  <si>
    <t>Jason Katz</t>
  </si>
  <si>
    <t>Nicole Paradis Grindle</t>
  </si>
  <si>
    <t>Mark Nielsen</t>
  </si>
  <si>
    <t>Stephany Folsom</t>
  </si>
  <si>
    <t>Martin Hynes</t>
  </si>
  <si>
    <t>Rashida Jones</t>
  </si>
  <si>
    <t>Valerie LaPointe</t>
  </si>
  <si>
    <t>Will McCormack</t>
  </si>
  <si>
    <t>Keith Bunin</t>
  </si>
  <si>
    <t>Jason Headley</t>
  </si>
  <si>
    <t>Kemp Powers</t>
  </si>
  <si>
    <t>Trent Reznor</t>
  </si>
  <si>
    <t>Atticus Ross</t>
  </si>
  <si>
    <t>Dana Murray</t>
  </si>
  <si>
    <t>Mike Jones</t>
  </si>
  <si>
    <t>Jesse Andrews</t>
  </si>
  <si>
    <t>Domee Shi</t>
  </si>
  <si>
    <t>Ludwig GÃ¶ransson</t>
  </si>
  <si>
    <t>Julia Cho</t>
  </si>
  <si>
    <t>Sarah Streicher</t>
  </si>
  <si>
    <t>Galyn Susman</t>
  </si>
  <si>
    <t>John Hoberg</t>
  </si>
  <si>
    <t>Brenda Hsueh</t>
  </si>
  <si>
    <t>Kat Likkel</t>
  </si>
  <si>
    <t>Andrea Datzman</t>
  </si>
  <si>
    <t>Dave Holstein</t>
  </si>
  <si>
    <t>rotten_tomatoes_score</t>
  </si>
  <si>
    <t>rotten_tomatoes_counts</t>
  </si>
  <si>
    <t>metacritic_score</t>
  </si>
  <si>
    <t>metacritic_counts</t>
  </si>
  <si>
    <t>cinema_score</t>
  </si>
  <si>
    <t>imdb_score</t>
  </si>
  <si>
    <t>imdb_counts</t>
  </si>
  <si>
    <t>A</t>
  </si>
  <si>
    <t>A+</t>
  </si>
  <si>
    <t>A-</t>
  </si>
  <si>
    <t>Row Labels</t>
  </si>
  <si>
    <t>Grand Total</t>
  </si>
  <si>
    <t>Sum of box_office_worldwide</t>
  </si>
  <si>
    <t>Films</t>
  </si>
  <si>
    <t>Global Box Office</t>
  </si>
  <si>
    <t>Column Labels</t>
  </si>
  <si>
    <t>release_date (Year)</t>
  </si>
  <si>
    <t>1995</t>
  </si>
  <si>
    <t>1998</t>
  </si>
  <si>
    <t>1999</t>
  </si>
  <si>
    <t>2001</t>
  </si>
  <si>
    <t>2003</t>
  </si>
  <si>
    <t>2004</t>
  </si>
  <si>
    <t>2006</t>
  </si>
  <si>
    <t>2007</t>
  </si>
  <si>
    <t>2008</t>
  </si>
  <si>
    <t>2009</t>
  </si>
  <si>
    <t>2010</t>
  </si>
  <si>
    <t>2011</t>
  </si>
  <si>
    <t>2012</t>
  </si>
  <si>
    <t>2013</t>
  </si>
  <si>
    <t>2015</t>
  </si>
  <si>
    <t>2016</t>
  </si>
  <si>
    <t>2017</t>
  </si>
  <si>
    <t>2018</t>
  </si>
  <si>
    <t>2019</t>
  </si>
  <si>
    <t>2020</t>
  </si>
  <si>
    <t>2021</t>
  </si>
  <si>
    <t>2022</t>
  </si>
  <si>
    <t>2023</t>
  </si>
  <si>
    <t>2024</t>
  </si>
  <si>
    <t>Release Year</t>
  </si>
  <si>
    <t>5-year grouping</t>
  </si>
  <si>
    <t>(Multiple Items)</t>
  </si>
  <si>
    <t>release_date (Quarter)</t>
  </si>
  <si>
    <t>release_date (Month Index)</t>
  </si>
  <si>
    <t>release_date (Month)</t>
  </si>
  <si>
    <t>Qtr4</t>
  </si>
  <si>
    <t>Nov</t>
  </si>
  <si>
    <t>Qtr2</t>
  </si>
  <si>
    <t>May</t>
  </si>
  <si>
    <t>Jun</t>
  </si>
  <si>
    <t>Qtr1</t>
  </si>
  <si>
    <t>Mar</t>
  </si>
  <si>
    <t>Dec</t>
  </si>
  <si>
    <t>Count of value</t>
  </si>
  <si>
    <t>Count of film_rating</t>
  </si>
  <si>
    <t>Budget</t>
  </si>
  <si>
    <t>Box Office</t>
  </si>
  <si>
    <t>Rotten Tomatoe Score</t>
  </si>
  <si>
    <t>Awards Won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</si>
</sst>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
    <numFmt numFmtId="165" formatCode="&quot;$&quot;#,##0"/>
  </numFmts>
  <fonts count="3" x14ac:knownFonts="1">
    <font>
      <sz val="11"/>
      <color theme="1"/>
      <name val="Calibri"/>
      <family val="2"/>
      <scheme val="minor"/>
    </font>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8">
    <xf numFmtId="0" fontId="0" fillId="0" borderId="0" xfId="0"/>
    <xf numFmtId="14" fontId="0" fillId="0" borderId="0" xfId="0" applyNumberFormat="1"/>
    <xf numFmtId="43" fontId="0" fillId="0" borderId="0" xfId="1" applyFon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0" fillId="0" borderId="0" xfId="0" applyAlignment="1">
      <alignment horizontal="left" indent="1"/>
    </xf>
  </cellXfs>
  <cellStyles count="2">
    <cellStyle name="Comma" xfId="1" builtinId="3"/>
    <cellStyle name="Normal" xfId="0" builtinId="0"/>
  </cellStyles>
  <dxfs count="5">
    <dxf>
      <numFmt numFmtId="0" formatCode="General"/>
    </dxf>
    <dxf>
      <numFmt numFmtId="0" formatCode="General"/>
    </dxf>
    <dxf>
      <numFmt numFmtId="19" formatCode="m/d/yyyy"/>
    </dxf>
    <dxf>
      <numFmt numFmtId="165" formatCode="&quot;$&quot;#,##0"/>
    </dxf>
    <dxf>
      <font>
        <b val="0"/>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sheetMetadata" Target="metadata.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29" Type="http://schemas.openxmlformats.org/officeDocument/2006/relationships/customXml" Target="../customXml/item9.xml"/><Relationship Id="rId41"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2.xml"/><Relationship Id="rId19" Type="http://schemas.openxmlformats.org/officeDocument/2006/relationships/powerPivotData" Target="model/item.data"/><Relationship Id="rId31"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sharedStrings" Target="sharedString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[PixarWin.xlsx]pivot tables!PivotTable2</c:name>
    <c:fmtId val="0"/>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Awards Vs Ratings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2"/>
            </a:solidFill>
            <a:round/>
          </a:ln>
          <a:effectLst/>
        </c:spPr>
        <c:marker>
          <c:symbol val="none"/>
        </c:marker>
      </c:pivotFmt>
    </c:pivotFmts>
    <c:plotArea>
      <c:layout/>
      <c:barChart>
        <c:barDir val="col"/>
        <c:grouping val="clustered"/>
        <c:varyColors val="0"/>
        <c:ser>
          <c:idx val="0"/>
          <c:order val="0"/>
          <c:tx>
            <c:strRef>
              <c:f>'pivot tables'!$F$3</c:f>
              <c:strCache>
                <c:ptCount val="1"/>
                <c:pt idx="0">
                  <c:v>Awards Won</c:v>
                </c:pt>
              </c:strCache>
            </c:strRef>
          </c:tx>
          <c:spPr>
            <a:solidFill>
              <a:schemeClr val="accent1"/>
            </a:solidFill>
            <a:ln>
              <a:noFill/>
            </a:ln>
            <a:effectLst/>
          </c:spPr>
          <c:invertIfNegative val="0"/>
          <c:cat>
            <c:strRef>
              <c:f>'pivot tables'!$E$4:$E$14</c:f>
              <c:strCache>
                <c:ptCount val="10"/>
                <c:pt idx="0">
                  <c:v>Monsters, Inc.</c:v>
                </c:pt>
                <c:pt idx="1">
                  <c:v>Ratatouille</c:v>
                </c:pt>
                <c:pt idx="2">
                  <c:v>Inside Out</c:v>
                </c:pt>
                <c:pt idx="3">
                  <c:v>Finding Nemo</c:v>
                </c:pt>
                <c:pt idx="4">
                  <c:v>Brave</c:v>
                </c:pt>
                <c:pt idx="5">
                  <c:v>Coco</c:v>
                </c:pt>
                <c:pt idx="6">
                  <c:v>The Incredibles</c:v>
                </c:pt>
                <c:pt idx="7">
                  <c:v>Toy Story 3</c:v>
                </c:pt>
                <c:pt idx="8">
                  <c:v>Soul</c:v>
                </c:pt>
                <c:pt idx="9">
                  <c:v>Up</c:v>
                </c:pt>
              </c:strCache>
            </c:strRef>
          </c:cat>
          <c:val>
            <c:numRef>
              <c:f>'pivot tables'!$F$4:$F$14</c:f>
              <c:numCache>
                <c:formatCode>General</c:formatCode>
                <c:ptCount val="10"/>
                <c:pt idx="0">
                  <c:v>1</c:v>
                </c:pt>
                <c:pt idx="1">
                  <c:v>1</c:v>
                </c:pt>
                <c:pt idx="2">
                  <c:v>1</c:v>
                </c:pt>
                <c:pt idx="3">
                  <c:v>1</c:v>
                </c:pt>
                <c:pt idx="4">
                  <c:v>1</c:v>
                </c:pt>
                <c:pt idx="5">
                  <c:v>2</c:v>
                </c:pt>
                <c:pt idx="6">
                  <c:v>2</c:v>
                </c:pt>
                <c:pt idx="7">
                  <c:v>2</c:v>
                </c:pt>
                <c:pt idx="8">
                  <c:v>2</c:v>
                </c:pt>
                <c:pt idx="9">
                  <c:v>2</c:v>
                </c:pt>
              </c:numCache>
            </c:numRef>
          </c:val>
          <c:extLst>
            <c:ext xmlns:c16="http://schemas.microsoft.com/office/drawing/2014/chart" uri="{C3380CC4-5D6E-409C-BE32-E72D297353CC}">
              <c16:uniqueId val="{0000000A-2199-4D19-B811-1834C9A2C6D9}"/>
            </c:ext>
          </c:extLst>
        </c:ser>
        <c:dLbls>
          <c:showLegendKey val="0"/>
          <c:showVal val="0"/>
          <c:showCatName val="0"/>
          <c:showSerName val="0"/>
          <c:showPercent val="0"/>
          <c:showBubbleSize val="0"/>
        </c:dLbls>
        <c:gapWidth val="219"/>
        <c:axId val="1730721823"/>
        <c:axId val="1730724735"/>
      </c:barChart>
      <c:lineChart>
        <c:grouping val="standard"/>
        <c:varyColors val="0"/>
        <c:ser>
          <c:idx val="1"/>
          <c:order val="1"/>
          <c:tx>
            <c:strRef>
              <c:f>'pivot tables'!$G$3</c:f>
              <c:strCache>
                <c:ptCount val="1"/>
                <c:pt idx="0">
                  <c:v>Rotten Tomatoe Score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tables'!$E$4:$E$14</c:f>
              <c:strCache>
                <c:ptCount val="10"/>
                <c:pt idx="0">
                  <c:v>Monsters, Inc.</c:v>
                </c:pt>
                <c:pt idx="1">
                  <c:v>Ratatouille</c:v>
                </c:pt>
                <c:pt idx="2">
                  <c:v>Inside Out</c:v>
                </c:pt>
                <c:pt idx="3">
                  <c:v>Finding Nemo</c:v>
                </c:pt>
                <c:pt idx="4">
                  <c:v>Brave</c:v>
                </c:pt>
                <c:pt idx="5">
                  <c:v>Coco</c:v>
                </c:pt>
                <c:pt idx="6">
                  <c:v>The Incredibles</c:v>
                </c:pt>
                <c:pt idx="7">
                  <c:v>Toy Story 3</c:v>
                </c:pt>
                <c:pt idx="8">
                  <c:v>Soul</c:v>
                </c:pt>
                <c:pt idx="9">
                  <c:v>Up</c:v>
                </c:pt>
              </c:strCache>
            </c:strRef>
          </c:cat>
          <c:val>
            <c:numRef>
              <c:f>'pivot tables'!$G$4:$G$14</c:f>
              <c:numCache>
                <c:formatCode>General</c:formatCode>
                <c:ptCount val="10"/>
                <c:pt idx="0">
                  <c:v>96</c:v>
                </c:pt>
                <c:pt idx="1">
                  <c:v>96</c:v>
                </c:pt>
                <c:pt idx="2">
                  <c:v>98</c:v>
                </c:pt>
                <c:pt idx="3">
                  <c:v>99</c:v>
                </c:pt>
                <c:pt idx="4">
                  <c:v>79</c:v>
                </c:pt>
                <c:pt idx="5">
                  <c:v>97</c:v>
                </c:pt>
                <c:pt idx="6">
                  <c:v>97</c:v>
                </c:pt>
                <c:pt idx="7">
                  <c:v>98</c:v>
                </c:pt>
                <c:pt idx="8">
                  <c:v>95</c:v>
                </c:pt>
                <c:pt idx="9">
                  <c:v>98</c:v>
                </c:pt>
              </c:numCache>
            </c:numRef>
          </c:val>
          <c:smooth val="0"/>
          <c:extLst>
            <c:ext xmlns:c16="http://schemas.microsoft.com/office/drawing/2014/chart" uri="{C3380CC4-5D6E-409C-BE32-E72D297353CC}">
              <c16:uniqueId val="{0000000B-2199-4D19-B811-1834C9A2C6D9}"/>
            </c:ext>
          </c:extLst>
        </c:ser>
        <c:dLbls>
          <c:showLegendKey val="0"/>
          <c:showVal val="0"/>
          <c:showCatName val="0"/>
          <c:showSerName val="0"/>
          <c:showPercent val="0"/>
          <c:showBubbleSize val="0"/>
        </c:dLbls>
        <c:marker val="1"/>
        <c:smooth val="0"/>
        <c:axId val="851310591"/>
        <c:axId val="851317663"/>
      </c:lineChart>
      <c:catAx>
        <c:axId val="851310591"/>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Films</a:t>
                </a:r>
              </a:p>
            </c:rich>
          </c:tx>
          <c:layout>
            <c:manualLayout>
              <c:xMode val="edge"/>
              <c:yMode val="edge"/>
              <c:x val="0.41587112386565422"/>
              <c:y val="0.9286508063637303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317663"/>
        <c:crosses val="autoZero"/>
        <c:auto val="1"/>
        <c:lblAlgn val="ctr"/>
        <c:lblOffset val="100"/>
        <c:noMultiLvlLbl val="0"/>
      </c:catAx>
      <c:valAx>
        <c:axId val="851317663"/>
        <c:scaling>
          <c:orientation val="minMax"/>
          <c:max val="100"/>
          <c:min val="7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Rotten Tomato Score</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310591"/>
        <c:crosses val="autoZero"/>
        <c:crossBetween val="between"/>
      </c:valAx>
      <c:valAx>
        <c:axId val="1730724735"/>
        <c:scaling>
          <c:orientation val="minMax"/>
        </c:scaling>
        <c:delete val="0"/>
        <c:axPos val="r"/>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Number of Awards</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721823"/>
        <c:crosses val="max"/>
        <c:crossBetween val="between"/>
      </c:valAx>
      <c:catAx>
        <c:axId val="1730721823"/>
        <c:scaling>
          <c:orientation val="minMax"/>
        </c:scaling>
        <c:delete val="1"/>
        <c:axPos val="b"/>
        <c:numFmt formatCode="General" sourceLinked="1"/>
        <c:majorTickMark val="out"/>
        <c:minorTickMark val="none"/>
        <c:tickLblPos val="nextTo"/>
        <c:crossAx val="173072473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'pivot tables'!$N$1</c:f>
              <c:strCache>
                <c:ptCount val="1"/>
                <c:pt idx="0">
                  <c:v>Global Box Office</c:v>
                </c:pt>
              </c:strCache>
            </c:strRef>
          </c:tx>
          <c:spPr>
            <a:solidFill>
              <a:schemeClr val="accent1"/>
            </a:solidFill>
            <a:ln>
              <a:noFill/>
            </a:ln>
            <a:effectLst/>
          </c:spPr>
          <c:invertIfNegative val="0"/>
          <c:cat>
            <c:strRef>
              <c:f>'pivot tables'!$M$2:$M$16</c:f>
              <c:strCache>
                <c:ptCount val="15"/>
                <c:pt idx="0">
                  <c:v>Cars</c:v>
                </c:pt>
                <c:pt idx="1">
                  <c:v>Cars 2</c:v>
                </c:pt>
                <c:pt idx="2">
                  <c:v>Cars 3</c:v>
                </c:pt>
                <c:pt idx="3">
                  <c:v>Finding Nemo</c:v>
                </c:pt>
                <c:pt idx="4">
                  <c:v>Finding Dory</c:v>
                </c:pt>
                <c:pt idx="5">
                  <c:v>The Incredibles</c:v>
                </c:pt>
                <c:pt idx="6">
                  <c:v>Incredibles 2</c:v>
                </c:pt>
                <c:pt idx="7">
                  <c:v>Inside Out</c:v>
                </c:pt>
                <c:pt idx="8">
                  <c:v>Inside Out 2</c:v>
                </c:pt>
                <c:pt idx="9">
                  <c:v>Monsters, Inc.</c:v>
                </c:pt>
                <c:pt idx="10">
                  <c:v>Monsters University</c:v>
                </c:pt>
                <c:pt idx="11">
                  <c:v>Toy Story</c:v>
                </c:pt>
                <c:pt idx="12">
                  <c:v>Toy Story 2</c:v>
                </c:pt>
                <c:pt idx="13">
                  <c:v>Toy Story 3</c:v>
                </c:pt>
                <c:pt idx="14">
                  <c:v>Toy Story 4</c:v>
                </c:pt>
              </c:strCache>
            </c:strRef>
          </c:cat>
          <c:val>
            <c:numRef>
              <c:f>'pivot tables'!$N$2:$N$16</c:f>
              <c:numCache>
                <c:formatCode>"$"#,##0</c:formatCode>
                <c:ptCount val="15"/>
                <c:pt idx="0">
                  <c:v>461983149</c:v>
                </c:pt>
                <c:pt idx="1">
                  <c:v>559852396</c:v>
                </c:pt>
                <c:pt idx="2">
                  <c:v>383930656</c:v>
                </c:pt>
                <c:pt idx="3">
                  <c:v>871014978</c:v>
                </c:pt>
                <c:pt idx="4">
                  <c:v>1028570889</c:v>
                </c:pt>
                <c:pt idx="5">
                  <c:v>631442092</c:v>
                </c:pt>
                <c:pt idx="6">
                  <c:v>1242805359</c:v>
                </c:pt>
                <c:pt idx="7">
                  <c:v>857611174</c:v>
                </c:pt>
                <c:pt idx="8">
                  <c:v>1698030965</c:v>
                </c:pt>
                <c:pt idx="9">
                  <c:v>528773250</c:v>
                </c:pt>
                <c:pt idx="10">
                  <c:v>743559607</c:v>
                </c:pt>
                <c:pt idx="11">
                  <c:v>394436586</c:v>
                </c:pt>
                <c:pt idx="12">
                  <c:v>511358276</c:v>
                </c:pt>
                <c:pt idx="13">
                  <c:v>1066969703</c:v>
                </c:pt>
                <c:pt idx="14">
                  <c:v>1073394593</c:v>
                </c:pt>
              </c:numCache>
            </c:numRef>
          </c:val>
          <c:extLst>
            <c:ext xmlns:c16="http://schemas.microsoft.com/office/drawing/2014/chart" uri="{C3380CC4-5D6E-409C-BE32-E72D297353CC}">
              <c16:uniqueId val="{00000000-9C51-4866-97E9-024C3BB979BC}"/>
            </c:ext>
          </c:extLst>
        </c:ser>
        <c:dLbls>
          <c:showLegendKey val="0"/>
          <c:showVal val="0"/>
          <c:showCatName val="0"/>
          <c:showSerName val="0"/>
          <c:showPercent val="0"/>
          <c:showBubbleSize val="0"/>
        </c:dLbls>
        <c:gapWidth val="150"/>
        <c:overlap val="100"/>
        <c:axId val="1580051359"/>
        <c:axId val="1580049279"/>
      </c:barChart>
      <c:catAx>
        <c:axId val="1580051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049279"/>
        <c:crosses val="autoZero"/>
        <c:auto val="1"/>
        <c:lblAlgn val="ctr"/>
        <c:lblOffset val="100"/>
        <c:noMultiLvlLbl val="0"/>
      </c:catAx>
      <c:valAx>
        <c:axId val="15800492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051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Originals</a:t>
            </a:r>
            <a:r>
              <a:rPr lang="en-US" sz="1800" b="1" baseline="0"/>
              <a:t> vs Sequels</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'pivot tables'!$N$1</c:f>
              <c:strCache>
                <c:ptCount val="1"/>
                <c:pt idx="0">
                  <c:v>Global Box Office</c:v>
                </c:pt>
              </c:strCache>
            </c:strRef>
          </c:tx>
          <c:spPr>
            <a:solidFill>
              <a:schemeClr val="accent1"/>
            </a:solidFill>
            <a:ln>
              <a:noFill/>
            </a:ln>
            <a:effectLst/>
          </c:spPr>
          <c:invertIfNegative val="0"/>
          <c:cat>
            <c:strRef>
              <c:f>'pivot tables'!$M$2:$M$16</c:f>
              <c:strCache>
                <c:ptCount val="15"/>
                <c:pt idx="0">
                  <c:v>Cars</c:v>
                </c:pt>
                <c:pt idx="1">
                  <c:v>Cars 2</c:v>
                </c:pt>
                <c:pt idx="2">
                  <c:v>Cars 3</c:v>
                </c:pt>
                <c:pt idx="3">
                  <c:v>Finding Nemo</c:v>
                </c:pt>
                <c:pt idx="4">
                  <c:v>Finding Dory</c:v>
                </c:pt>
                <c:pt idx="5">
                  <c:v>The Incredibles</c:v>
                </c:pt>
                <c:pt idx="6">
                  <c:v>Incredibles 2</c:v>
                </c:pt>
                <c:pt idx="7">
                  <c:v>Inside Out</c:v>
                </c:pt>
                <c:pt idx="8">
                  <c:v>Inside Out 2</c:v>
                </c:pt>
                <c:pt idx="9">
                  <c:v>Monsters, Inc.</c:v>
                </c:pt>
                <c:pt idx="10">
                  <c:v>Monsters University</c:v>
                </c:pt>
                <c:pt idx="11">
                  <c:v>Toy Story</c:v>
                </c:pt>
                <c:pt idx="12">
                  <c:v>Toy Story 2</c:v>
                </c:pt>
                <c:pt idx="13">
                  <c:v>Toy Story 3</c:v>
                </c:pt>
                <c:pt idx="14">
                  <c:v>Toy Story 4</c:v>
                </c:pt>
              </c:strCache>
            </c:strRef>
          </c:cat>
          <c:val>
            <c:numRef>
              <c:f>'pivot tables'!$N$2:$N$16</c:f>
              <c:numCache>
                <c:formatCode>"$"#,##0</c:formatCode>
                <c:ptCount val="15"/>
                <c:pt idx="0">
                  <c:v>461983149</c:v>
                </c:pt>
                <c:pt idx="1">
                  <c:v>559852396</c:v>
                </c:pt>
                <c:pt idx="2">
                  <c:v>383930656</c:v>
                </c:pt>
                <c:pt idx="3">
                  <c:v>871014978</c:v>
                </c:pt>
                <c:pt idx="4">
                  <c:v>1028570889</c:v>
                </c:pt>
                <c:pt idx="5">
                  <c:v>631442092</c:v>
                </c:pt>
                <c:pt idx="6">
                  <c:v>1242805359</c:v>
                </c:pt>
                <c:pt idx="7">
                  <c:v>857611174</c:v>
                </c:pt>
                <c:pt idx="8">
                  <c:v>1698030965</c:v>
                </c:pt>
                <c:pt idx="9">
                  <c:v>528773250</c:v>
                </c:pt>
                <c:pt idx="10">
                  <c:v>743559607</c:v>
                </c:pt>
                <c:pt idx="11">
                  <c:v>394436586</c:v>
                </c:pt>
                <c:pt idx="12">
                  <c:v>511358276</c:v>
                </c:pt>
                <c:pt idx="13">
                  <c:v>1066969703</c:v>
                </c:pt>
                <c:pt idx="14">
                  <c:v>1073394593</c:v>
                </c:pt>
              </c:numCache>
            </c:numRef>
          </c:val>
          <c:extLst>
            <c:ext xmlns:c16="http://schemas.microsoft.com/office/drawing/2014/chart" uri="{C3380CC4-5D6E-409C-BE32-E72D297353CC}">
              <c16:uniqueId val="{00000000-C0BC-4735-AF3B-90AADCAEF1C6}"/>
            </c:ext>
          </c:extLst>
        </c:ser>
        <c:dLbls>
          <c:showLegendKey val="0"/>
          <c:showVal val="0"/>
          <c:showCatName val="0"/>
          <c:showSerName val="0"/>
          <c:showPercent val="0"/>
          <c:showBubbleSize val="0"/>
        </c:dLbls>
        <c:gapWidth val="150"/>
        <c:overlap val="100"/>
        <c:axId val="1580051359"/>
        <c:axId val="1580049279"/>
      </c:barChart>
      <c:catAx>
        <c:axId val="1580051359"/>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Movie Franchise</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049279"/>
        <c:crosses val="autoZero"/>
        <c:auto val="1"/>
        <c:lblAlgn val="ctr"/>
        <c:lblOffset val="100"/>
        <c:noMultiLvlLbl val="0"/>
      </c:catAx>
      <c:valAx>
        <c:axId val="15800492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Box Office Revenue</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051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[PixarWin.xlsx]pivot tables!PivotTable3</c:name>
    <c:fmtId val="2"/>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Genre</a:t>
            </a:r>
            <a:r>
              <a:rPr lang="en-US" sz="1800" b="1" baseline="0"/>
              <a:t> &amp; Ratings Evolution</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tables'!$Q$4:$Q$5</c:f>
              <c:strCache>
                <c:ptCount val="1"/>
                <c:pt idx="0">
                  <c:v>Action</c:v>
                </c:pt>
              </c:strCache>
            </c:strRef>
          </c:tx>
          <c:spPr>
            <a:solidFill>
              <a:schemeClr val="accent1"/>
            </a:solidFill>
            <a:ln>
              <a:noFill/>
            </a:ln>
            <a:effectLst/>
          </c:spPr>
          <c:invertIfNegative val="0"/>
          <c:cat>
            <c:multiLvlStrRef>
              <c:f>'pivot tables'!$P$6:$P$55</c:f>
              <c:multiLvlStrCache>
                <c:ptCount val="25"/>
                <c:lvl>
                  <c:pt idx="0">
                    <c:v>G</c:v>
                  </c:pt>
                  <c:pt idx="1">
                    <c:v>G</c:v>
                  </c:pt>
                  <c:pt idx="2">
                    <c:v>G</c:v>
                  </c:pt>
                  <c:pt idx="3">
                    <c:v>G</c:v>
                  </c:pt>
                  <c:pt idx="4">
                    <c:v>G</c:v>
                  </c:pt>
                  <c:pt idx="5">
                    <c:v>PG</c:v>
                  </c:pt>
                  <c:pt idx="6">
                    <c:v>G</c:v>
                  </c:pt>
                  <c:pt idx="7">
                    <c:v>G</c:v>
                  </c:pt>
                  <c:pt idx="8">
                    <c:v>G</c:v>
                  </c:pt>
                  <c:pt idx="9">
                    <c:v>PG</c:v>
                  </c:pt>
                  <c:pt idx="10">
                    <c:v>G</c:v>
                  </c:pt>
                  <c:pt idx="11">
                    <c:v>G</c:v>
                  </c:pt>
                  <c:pt idx="12">
                    <c:v>PG</c:v>
                  </c:pt>
                  <c:pt idx="13">
                    <c:v>G</c:v>
                  </c:pt>
                  <c:pt idx="14">
                    <c:v>PG</c:v>
                  </c:pt>
                  <c:pt idx="15">
                    <c:v>PG</c:v>
                  </c:pt>
                  <c:pt idx="16">
                    <c:v>G</c:v>
                  </c:pt>
                  <c:pt idx="17">
                    <c:v>PG</c:v>
                  </c:pt>
                  <c:pt idx="18">
                    <c:v>PG</c:v>
                  </c:pt>
                  <c:pt idx="19">
                    <c:v>G</c:v>
                  </c:pt>
                  <c:pt idx="20">
                    <c:v>PG</c:v>
                  </c:pt>
                  <c:pt idx="21">
                    <c:v>PG</c:v>
                  </c:pt>
                  <c:pt idx="22">
                    <c:v>PG</c:v>
                  </c:pt>
                  <c:pt idx="23">
                    <c:v>PG</c:v>
                  </c:pt>
                  <c:pt idx="24">
                    <c:v>PG</c:v>
                  </c:pt>
                </c:lvl>
                <c:lvl>
                  <c:pt idx="0">
                    <c:v>1995</c:v>
                  </c:pt>
                  <c:pt idx="1">
                    <c:v>1998</c:v>
                  </c:pt>
                  <c:pt idx="2">
                    <c:v>1999</c:v>
                  </c:pt>
                  <c:pt idx="3">
                    <c:v>2001</c:v>
                  </c:pt>
                  <c:pt idx="4">
                    <c:v>2003</c:v>
                  </c:pt>
                  <c:pt idx="5">
                    <c:v>2004</c:v>
                  </c:pt>
                  <c:pt idx="6">
                    <c:v>2006</c:v>
                  </c:pt>
                  <c:pt idx="7">
                    <c:v>2007</c:v>
                  </c:pt>
                  <c:pt idx="8">
                    <c:v>2008</c:v>
                  </c:pt>
                  <c:pt idx="9">
                    <c:v>2009</c:v>
                  </c:pt>
                  <c:pt idx="10">
                    <c:v>2010</c:v>
                  </c:pt>
                  <c:pt idx="11">
                    <c:v>2011</c:v>
                  </c:pt>
                  <c:pt idx="12">
                    <c:v>2012</c:v>
                  </c:pt>
                  <c:pt idx="13">
                    <c:v>2013</c:v>
                  </c:pt>
                  <c:pt idx="14">
                    <c:v>2015</c:v>
                  </c:pt>
                  <c:pt idx="15">
                    <c:v>2016</c:v>
                  </c:pt>
                  <c:pt idx="16">
                    <c:v>2017</c:v>
                  </c:pt>
                  <c:pt idx="18">
                    <c:v>2018</c:v>
                  </c:pt>
                  <c:pt idx="19">
                    <c:v>2019</c:v>
                  </c:pt>
                  <c:pt idx="20">
                    <c:v>2020</c:v>
                  </c:pt>
                  <c:pt idx="21">
                    <c:v>2021</c:v>
                  </c:pt>
                  <c:pt idx="22">
                    <c:v>2022</c:v>
                  </c:pt>
                  <c:pt idx="23">
                    <c:v>2023</c:v>
                  </c:pt>
                  <c:pt idx="24">
                    <c:v>2024</c:v>
                  </c:pt>
                </c:lvl>
              </c:multiLvlStrCache>
            </c:multiLvlStrRef>
          </c:cat>
          <c:val>
            <c:numRef>
              <c:f>'pivot tables'!$Q$6:$Q$55</c:f>
              <c:numCache>
                <c:formatCode>General</c:formatCode>
                <c:ptCount val="25"/>
                <c:pt idx="5">
                  <c:v>1</c:v>
                </c:pt>
                <c:pt idx="12">
                  <c:v>1</c:v>
                </c:pt>
                <c:pt idx="14">
                  <c:v>1</c:v>
                </c:pt>
                <c:pt idx="18">
                  <c:v>1</c:v>
                </c:pt>
                <c:pt idx="22">
                  <c:v>1</c:v>
                </c:pt>
              </c:numCache>
            </c:numRef>
          </c:val>
          <c:extLst>
            <c:ext xmlns:c16="http://schemas.microsoft.com/office/drawing/2014/chart" uri="{C3380CC4-5D6E-409C-BE32-E72D297353CC}">
              <c16:uniqueId val="{00000000-ED2D-446E-8796-544EAF98F48C}"/>
            </c:ext>
          </c:extLst>
        </c:ser>
        <c:ser>
          <c:idx val="1"/>
          <c:order val="1"/>
          <c:tx>
            <c:strRef>
              <c:f>'pivot tables'!$R$4:$R$5</c:f>
              <c:strCache>
                <c:ptCount val="1"/>
                <c:pt idx="0">
                  <c:v>Adventure</c:v>
                </c:pt>
              </c:strCache>
            </c:strRef>
          </c:tx>
          <c:spPr>
            <a:solidFill>
              <a:schemeClr val="accent2"/>
            </a:solidFill>
            <a:ln>
              <a:noFill/>
            </a:ln>
            <a:effectLst/>
          </c:spPr>
          <c:invertIfNegative val="0"/>
          <c:cat>
            <c:multiLvlStrRef>
              <c:f>'pivot tables'!$P$6:$P$55</c:f>
              <c:multiLvlStrCache>
                <c:ptCount val="25"/>
                <c:lvl>
                  <c:pt idx="0">
                    <c:v>G</c:v>
                  </c:pt>
                  <c:pt idx="1">
                    <c:v>G</c:v>
                  </c:pt>
                  <c:pt idx="2">
                    <c:v>G</c:v>
                  </c:pt>
                  <c:pt idx="3">
                    <c:v>G</c:v>
                  </c:pt>
                  <c:pt idx="4">
                    <c:v>G</c:v>
                  </c:pt>
                  <c:pt idx="5">
                    <c:v>PG</c:v>
                  </c:pt>
                  <c:pt idx="6">
                    <c:v>G</c:v>
                  </c:pt>
                  <c:pt idx="7">
                    <c:v>G</c:v>
                  </c:pt>
                  <c:pt idx="8">
                    <c:v>G</c:v>
                  </c:pt>
                  <c:pt idx="9">
                    <c:v>PG</c:v>
                  </c:pt>
                  <c:pt idx="10">
                    <c:v>G</c:v>
                  </c:pt>
                  <c:pt idx="11">
                    <c:v>G</c:v>
                  </c:pt>
                  <c:pt idx="12">
                    <c:v>PG</c:v>
                  </c:pt>
                  <c:pt idx="13">
                    <c:v>G</c:v>
                  </c:pt>
                  <c:pt idx="14">
                    <c:v>PG</c:v>
                  </c:pt>
                  <c:pt idx="15">
                    <c:v>PG</c:v>
                  </c:pt>
                  <c:pt idx="16">
                    <c:v>G</c:v>
                  </c:pt>
                  <c:pt idx="17">
                    <c:v>PG</c:v>
                  </c:pt>
                  <c:pt idx="18">
                    <c:v>PG</c:v>
                  </c:pt>
                  <c:pt idx="19">
                    <c:v>G</c:v>
                  </c:pt>
                  <c:pt idx="20">
                    <c:v>PG</c:v>
                  </c:pt>
                  <c:pt idx="21">
                    <c:v>PG</c:v>
                  </c:pt>
                  <c:pt idx="22">
                    <c:v>PG</c:v>
                  </c:pt>
                  <c:pt idx="23">
                    <c:v>PG</c:v>
                  </c:pt>
                  <c:pt idx="24">
                    <c:v>PG</c:v>
                  </c:pt>
                </c:lvl>
                <c:lvl>
                  <c:pt idx="0">
                    <c:v>1995</c:v>
                  </c:pt>
                  <c:pt idx="1">
                    <c:v>1998</c:v>
                  </c:pt>
                  <c:pt idx="2">
                    <c:v>1999</c:v>
                  </c:pt>
                  <c:pt idx="3">
                    <c:v>2001</c:v>
                  </c:pt>
                  <c:pt idx="4">
                    <c:v>2003</c:v>
                  </c:pt>
                  <c:pt idx="5">
                    <c:v>2004</c:v>
                  </c:pt>
                  <c:pt idx="6">
                    <c:v>2006</c:v>
                  </c:pt>
                  <c:pt idx="7">
                    <c:v>2007</c:v>
                  </c:pt>
                  <c:pt idx="8">
                    <c:v>2008</c:v>
                  </c:pt>
                  <c:pt idx="9">
                    <c:v>2009</c:v>
                  </c:pt>
                  <c:pt idx="10">
                    <c:v>2010</c:v>
                  </c:pt>
                  <c:pt idx="11">
                    <c:v>2011</c:v>
                  </c:pt>
                  <c:pt idx="12">
                    <c:v>2012</c:v>
                  </c:pt>
                  <c:pt idx="13">
                    <c:v>2013</c:v>
                  </c:pt>
                  <c:pt idx="14">
                    <c:v>2015</c:v>
                  </c:pt>
                  <c:pt idx="15">
                    <c:v>2016</c:v>
                  </c:pt>
                  <c:pt idx="16">
                    <c:v>2017</c:v>
                  </c:pt>
                  <c:pt idx="18">
                    <c:v>2018</c:v>
                  </c:pt>
                  <c:pt idx="19">
                    <c:v>2019</c:v>
                  </c:pt>
                  <c:pt idx="20">
                    <c:v>2020</c:v>
                  </c:pt>
                  <c:pt idx="21">
                    <c:v>2021</c:v>
                  </c:pt>
                  <c:pt idx="22">
                    <c:v>2022</c:v>
                  </c:pt>
                  <c:pt idx="23">
                    <c:v>2023</c:v>
                  </c:pt>
                  <c:pt idx="24">
                    <c:v>2024</c:v>
                  </c:pt>
                </c:lvl>
              </c:multiLvlStrCache>
            </c:multiLvlStrRef>
          </c:cat>
          <c:val>
            <c:numRef>
              <c:f>'pivot tables'!$R$6:$R$55</c:f>
              <c:numCache>
                <c:formatCode>General</c:formatCode>
                <c:ptCount val="25"/>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2</c:v>
                </c:pt>
                <c:pt idx="15">
                  <c:v>1</c:v>
                </c:pt>
                <c:pt idx="16">
                  <c:v>1</c:v>
                </c:pt>
                <c:pt idx="17">
                  <c:v>1</c:v>
                </c:pt>
                <c:pt idx="18">
                  <c:v>1</c:v>
                </c:pt>
                <c:pt idx="19">
                  <c:v>1</c:v>
                </c:pt>
                <c:pt idx="20">
                  <c:v>2</c:v>
                </c:pt>
                <c:pt idx="21">
                  <c:v>1</c:v>
                </c:pt>
                <c:pt idx="22">
                  <c:v>2</c:v>
                </c:pt>
                <c:pt idx="23">
                  <c:v>1</c:v>
                </c:pt>
                <c:pt idx="24">
                  <c:v>1</c:v>
                </c:pt>
              </c:numCache>
            </c:numRef>
          </c:val>
          <c:extLst>
            <c:ext xmlns:c16="http://schemas.microsoft.com/office/drawing/2014/chart" uri="{C3380CC4-5D6E-409C-BE32-E72D297353CC}">
              <c16:uniqueId val="{00000001-ED2D-446E-8796-544EAF98F48C}"/>
            </c:ext>
          </c:extLst>
        </c:ser>
        <c:ser>
          <c:idx val="2"/>
          <c:order val="2"/>
          <c:tx>
            <c:strRef>
              <c:f>'pivot tables'!$S$4:$S$5</c:f>
              <c:strCache>
                <c:ptCount val="1"/>
                <c:pt idx="0">
                  <c:v>Animation</c:v>
                </c:pt>
              </c:strCache>
            </c:strRef>
          </c:tx>
          <c:spPr>
            <a:solidFill>
              <a:schemeClr val="accent3"/>
            </a:solidFill>
            <a:ln>
              <a:noFill/>
            </a:ln>
            <a:effectLst/>
          </c:spPr>
          <c:invertIfNegative val="0"/>
          <c:cat>
            <c:multiLvlStrRef>
              <c:f>'pivot tables'!$P$6:$P$55</c:f>
              <c:multiLvlStrCache>
                <c:ptCount val="25"/>
                <c:lvl>
                  <c:pt idx="0">
                    <c:v>G</c:v>
                  </c:pt>
                  <c:pt idx="1">
                    <c:v>G</c:v>
                  </c:pt>
                  <c:pt idx="2">
                    <c:v>G</c:v>
                  </c:pt>
                  <c:pt idx="3">
                    <c:v>G</c:v>
                  </c:pt>
                  <c:pt idx="4">
                    <c:v>G</c:v>
                  </c:pt>
                  <c:pt idx="5">
                    <c:v>PG</c:v>
                  </c:pt>
                  <c:pt idx="6">
                    <c:v>G</c:v>
                  </c:pt>
                  <c:pt idx="7">
                    <c:v>G</c:v>
                  </c:pt>
                  <c:pt idx="8">
                    <c:v>G</c:v>
                  </c:pt>
                  <c:pt idx="9">
                    <c:v>PG</c:v>
                  </c:pt>
                  <c:pt idx="10">
                    <c:v>G</c:v>
                  </c:pt>
                  <c:pt idx="11">
                    <c:v>G</c:v>
                  </c:pt>
                  <c:pt idx="12">
                    <c:v>PG</c:v>
                  </c:pt>
                  <c:pt idx="13">
                    <c:v>G</c:v>
                  </c:pt>
                  <c:pt idx="14">
                    <c:v>PG</c:v>
                  </c:pt>
                  <c:pt idx="15">
                    <c:v>PG</c:v>
                  </c:pt>
                  <c:pt idx="16">
                    <c:v>G</c:v>
                  </c:pt>
                  <c:pt idx="17">
                    <c:v>PG</c:v>
                  </c:pt>
                  <c:pt idx="18">
                    <c:v>PG</c:v>
                  </c:pt>
                  <c:pt idx="19">
                    <c:v>G</c:v>
                  </c:pt>
                  <c:pt idx="20">
                    <c:v>PG</c:v>
                  </c:pt>
                  <c:pt idx="21">
                    <c:v>PG</c:v>
                  </c:pt>
                  <c:pt idx="22">
                    <c:v>PG</c:v>
                  </c:pt>
                  <c:pt idx="23">
                    <c:v>PG</c:v>
                  </c:pt>
                  <c:pt idx="24">
                    <c:v>PG</c:v>
                  </c:pt>
                </c:lvl>
                <c:lvl>
                  <c:pt idx="0">
                    <c:v>1995</c:v>
                  </c:pt>
                  <c:pt idx="1">
                    <c:v>1998</c:v>
                  </c:pt>
                  <c:pt idx="2">
                    <c:v>1999</c:v>
                  </c:pt>
                  <c:pt idx="3">
                    <c:v>2001</c:v>
                  </c:pt>
                  <c:pt idx="4">
                    <c:v>2003</c:v>
                  </c:pt>
                  <c:pt idx="5">
                    <c:v>2004</c:v>
                  </c:pt>
                  <c:pt idx="6">
                    <c:v>2006</c:v>
                  </c:pt>
                  <c:pt idx="7">
                    <c:v>2007</c:v>
                  </c:pt>
                  <c:pt idx="8">
                    <c:v>2008</c:v>
                  </c:pt>
                  <c:pt idx="9">
                    <c:v>2009</c:v>
                  </c:pt>
                  <c:pt idx="10">
                    <c:v>2010</c:v>
                  </c:pt>
                  <c:pt idx="11">
                    <c:v>2011</c:v>
                  </c:pt>
                  <c:pt idx="12">
                    <c:v>2012</c:v>
                  </c:pt>
                  <c:pt idx="13">
                    <c:v>2013</c:v>
                  </c:pt>
                  <c:pt idx="14">
                    <c:v>2015</c:v>
                  </c:pt>
                  <c:pt idx="15">
                    <c:v>2016</c:v>
                  </c:pt>
                  <c:pt idx="16">
                    <c:v>2017</c:v>
                  </c:pt>
                  <c:pt idx="18">
                    <c:v>2018</c:v>
                  </c:pt>
                  <c:pt idx="19">
                    <c:v>2019</c:v>
                  </c:pt>
                  <c:pt idx="20">
                    <c:v>2020</c:v>
                  </c:pt>
                  <c:pt idx="21">
                    <c:v>2021</c:v>
                  </c:pt>
                  <c:pt idx="22">
                    <c:v>2022</c:v>
                  </c:pt>
                  <c:pt idx="23">
                    <c:v>2023</c:v>
                  </c:pt>
                  <c:pt idx="24">
                    <c:v>2024</c:v>
                  </c:pt>
                </c:lvl>
              </c:multiLvlStrCache>
            </c:multiLvlStrRef>
          </c:cat>
          <c:val>
            <c:numRef>
              <c:f>'pivot tables'!$S$6:$S$55</c:f>
              <c:numCache>
                <c:formatCode>General</c:formatCode>
                <c:ptCount val="25"/>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2</c:v>
                </c:pt>
                <c:pt idx="15">
                  <c:v>1</c:v>
                </c:pt>
                <c:pt idx="16">
                  <c:v>1</c:v>
                </c:pt>
                <c:pt idx="17">
                  <c:v>1</c:v>
                </c:pt>
                <c:pt idx="18">
                  <c:v>1</c:v>
                </c:pt>
                <c:pt idx="19">
                  <c:v>1</c:v>
                </c:pt>
                <c:pt idx="20">
                  <c:v>2</c:v>
                </c:pt>
                <c:pt idx="21">
                  <c:v>1</c:v>
                </c:pt>
                <c:pt idx="22">
                  <c:v>2</c:v>
                </c:pt>
                <c:pt idx="23">
                  <c:v>1</c:v>
                </c:pt>
                <c:pt idx="24">
                  <c:v>1</c:v>
                </c:pt>
              </c:numCache>
            </c:numRef>
          </c:val>
          <c:extLst>
            <c:ext xmlns:c16="http://schemas.microsoft.com/office/drawing/2014/chart" uri="{C3380CC4-5D6E-409C-BE32-E72D297353CC}">
              <c16:uniqueId val="{00000002-ED2D-446E-8796-544EAF98F48C}"/>
            </c:ext>
          </c:extLst>
        </c:ser>
        <c:ser>
          <c:idx val="3"/>
          <c:order val="3"/>
          <c:tx>
            <c:strRef>
              <c:f>'pivot tables'!$T$4:$T$5</c:f>
              <c:strCache>
                <c:ptCount val="1"/>
                <c:pt idx="0">
                  <c:v>Comedy</c:v>
                </c:pt>
              </c:strCache>
            </c:strRef>
          </c:tx>
          <c:spPr>
            <a:solidFill>
              <a:schemeClr val="accent4"/>
            </a:solidFill>
            <a:ln>
              <a:noFill/>
            </a:ln>
            <a:effectLst/>
          </c:spPr>
          <c:invertIfNegative val="0"/>
          <c:cat>
            <c:multiLvlStrRef>
              <c:f>'pivot tables'!$P$6:$P$55</c:f>
              <c:multiLvlStrCache>
                <c:ptCount val="25"/>
                <c:lvl>
                  <c:pt idx="0">
                    <c:v>G</c:v>
                  </c:pt>
                  <c:pt idx="1">
                    <c:v>G</c:v>
                  </c:pt>
                  <c:pt idx="2">
                    <c:v>G</c:v>
                  </c:pt>
                  <c:pt idx="3">
                    <c:v>G</c:v>
                  </c:pt>
                  <c:pt idx="4">
                    <c:v>G</c:v>
                  </c:pt>
                  <c:pt idx="5">
                    <c:v>PG</c:v>
                  </c:pt>
                  <c:pt idx="6">
                    <c:v>G</c:v>
                  </c:pt>
                  <c:pt idx="7">
                    <c:v>G</c:v>
                  </c:pt>
                  <c:pt idx="8">
                    <c:v>G</c:v>
                  </c:pt>
                  <c:pt idx="9">
                    <c:v>PG</c:v>
                  </c:pt>
                  <c:pt idx="10">
                    <c:v>G</c:v>
                  </c:pt>
                  <c:pt idx="11">
                    <c:v>G</c:v>
                  </c:pt>
                  <c:pt idx="12">
                    <c:v>PG</c:v>
                  </c:pt>
                  <c:pt idx="13">
                    <c:v>G</c:v>
                  </c:pt>
                  <c:pt idx="14">
                    <c:v>PG</c:v>
                  </c:pt>
                  <c:pt idx="15">
                    <c:v>PG</c:v>
                  </c:pt>
                  <c:pt idx="16">
                    <c:v>G</c:v>
                  </c:pt>
                  <c:pt idx="17">
                    <c:v>PG</c:v>
                  </c:pt>
                  <c:pt idx="18">
                    <c:v>PG</c:v>
                  </c:pt>
                  <c:pt idx="19">
                    <c:v>G</c:v>
                  </c:pt>
                  <c:pt idx="20">
                    <c:v>PG</c:v>
                  </c:pt>
                  <c:pt idx="21">
                    <c:v>PG</c:v>
                  </c:pt>
                  <c:pt idx="22">
                    <c:v>PG</c:v>
                  </c:pt>
                  <c:pt idx="23">
                    <c:v>PG</c:v>
                  </c:pt>
                  <c:pt idx="24">
                    <c:v>PG</c:v>
                  </c:pt>
                </c:lvl>
                <c:lvl>
                  <c:pt idx="0">
                    <c:v>1995</c:v>
                  </c:pt>
                  <c:pt idx="1">
                    <c:v>1998</c:v>
                  </c:pt>
                  <c:pt idx="2">
                    <c:v>1999</c:v>
                  </c:pt>
                  <c:pt idx="3">
                    <c:v>2001</c:v>
                  </c:pt>
                  <c:pt idx="4">
                    <c:v>2003</c:v>
                  </c:pt>
                  <c:pt idx="5">
                    <c:v>2004</c:v>
                  </c:pt>
                  <c:pt idx="6">
                    <c:v>2006</c:v>
                  </c:pt>
                  <c:pt idx="7">
                    <c:v>2007</c:v>
                  </c:pt>
                  <c:pt idx="8">
                    <c:v>2008</c:v>
                  </c:pt>
                  <c:pt idx="9">
                    <c:v>2009</c:v>
                  </c:pt>
                  <c:pt idx="10">
                    <c:v>2010</c:v>
                  </c:pt>
                  <c:pt idx="11">
                    <c:v>2011</c:v>
                  </c:pt>
                  <c:pt idx="12">
                    <c:v>2012</c:v>
                  </c:pt>
                  <c:pt idx="13">
                    <c:v>2013</c:v>
                  </c:pt>
                  <c:pt idx="14">
                    <c:v>2015</c:v>
                  </c:pt>
                  <c:pt idx="15">
                    <c:v>2016</c:v>
                  </c:pt>
                  <c:pt idx="16">
                    <c:v>2017</c:v>
                  </c:pt>
                  <c:pt idx="18">
                    <c:v>2018</c:v>
                  </c:pt>
                  <c:pt idx="19">
                    <c:v>2019</c:v>
                  </c:pt>
                  <c:pt idx="20">
                    <c:v>2020</c:v>
                  </c:pt>
                  <c:pt idx="21">
                    <c:v>2021</c:v>
                  </c:pt>
                  <c:pt idx="22">
                    <c:v>2022</c:v>
                  </c:pt>
                  <c:pt idx="23">
                    <c:v>2023</c:v>
                  </c:pt>
                  <c:pt idx="24">
                    <c:v>2024</c:v>
                  </c:pt>
                </c:lvl>
              </c:multiLvlStrCache>
            </c:multiLvlStrRef>
          </c:cat>
          <c:val>
            <c:numRef>
              <c:f>'pivot tables'!$T$6:$T$55</c:f>
              <c:numCache>
                <c:formatCode>General</c:formatCode>
                <c:ptCount val="25"/>
                <c:pt idx="0">
                  <c:v>1</c:v>
                </c:pt>
                <c:pt idx="1">
                  <c:v>1</c:v>
                </c:pt>
                <c:pt idx="2">
                  <c:v>1</c:v>
                </c:pt>
                <c:pt idx="3">
                  <c:v>1</c:v>
                </c:pt>
                <c:pt idx="4">
                  <c:v>1</c:v>
                </c:pt>
                <c:pt idx="6">
                  <c:v>1</c:v>
                </c:pt>
                <c:pt idx="7">
                  <c:v>1</c:v>
                </c:pt>
                <c:pt idx="9">
                  <c:v>1</c:v>
                </c:pt>
                <c:pt idx="10">
                  <c:v>1</c:v>
                </c:pt>
                <c:pt idx="11">
                  <c:v>1</c:v>
                </c:pt>
                <c:pt idx="13">
                  <c:v>1</c:v>
                </c:pt>
                <c:pt idx="14">
                  <c:v>1</c:v>
                </c:pt>
                <c:pt idx="15">
                  <c:v>1</c:v>
                </c:pt>
                <c:pt idx="16">
                  <c:v>1</c:v>
                </c:pt>
                <c:pt idx="19">
                  <c:v>1</c:v>
                </c:pt>
                <c:pt idx="20">
                  <c:v>2</c:v>
                </c:pt>
                <c:pt idx="21">
                  <c:v>1</c:v>
                </c:pt>
                <c:pt idx="22">
                  <c:v>1</c:v>
                </c:pt>
                <c:pt idx="23">
                  <c:v>1</c:v>
                </c:pt>
                <c:pt idx="24">
                  <c:v>1</c:v>
                </c:pt>
              </c:numCache>
            </c:numRef>
          </c:val>
          <c:extLst>
            <c:ext xmlns:c16="http://schemas.microsoft.com/office/drawing/2014/chart" uri="{C3380CC4-5D6E-409C-BE32-E72D297353CC}">
              <c16:uniqueId val="{00000003-ED2D-446E-8796-544EAF98F48C}"/>
            </c:ext>
          </c:extLst>
        </c:ser>
        <c:ser>
          <c:idx val="4"/>
          <c:order val="4"/>
          <c:tx>
            <c:strRef>
              <c:f>'pivot tables'!$U$4:$U$5</c:f>
              <c:strCache>
                <c:ptCount val="1"/>
                <c:pt idx="0">
                  <c:v>Drama</c:v>
                </c:pt>
              </c:strCache>
            </c:strRef>
          </c:tx>
          <c:spPr>
            <a:solidFill>
              <a:schemeClr val="accent5"/>
            </a:solidFill>
            <a:ln>
              <a:noFill/>
            </a:ln>
            <a:effectLst/>
          </c:spPr>
          <c:invertIfNegative val="0"/>
          <c:cat>
            <c:multiLvlStrRef>
              <c:f>'pivot tables'!$P$6:$P$55</c:f>
              <c:multiLvlStrCache>
                <c:ptCount val="25"/>
                <c:lvl>
                  <c:pt idx="0">
                    <c:v>G</c:v>
                  </c:pt>
                  <c:pt idx="1">
                    <c:v>G</c:v>
                  </c:pt>
                  <c:pt idx="2">
                    <c:v>G</c:v>
                  </c:pt>
                  <c:pt idx="3">
                    <c:v>G</c:v>
                  </c:pt>
                  <c:pt idx="4">
                    <c:v>G</c:v>
                  </c:pt>
                  <c:pt idx="5">
                    <c:v>PG</c:v>
                  </c:pt>
                  <c:pt idx="6">
                    <c:v>G</c:v>
                  </c:pt>
                  <c:pt idx="7">
                    <c:v>G</c:v>
                  </c:pt>
                  <c:pt idx="8">
                    <c:v>G</c:v>
                  </c:pt>
                  <c:pt idx="9">
                    <c:v>PG</c:v>
                  </c:pt>
                  <c:pt idx="10">
                    <c:v>G</c:v>
                  </c:pt>
                  <c:pt idx="11">
                    <c:v>G</c:v>
                  </c:pt>
                  <c:pt idx="12">
                    <c:v>PG</c:v>
                  </c:pt>
                  <c:pt idx="13">
                    <c:v>G</c:v>
                  </c:pt>
                  <c:pt idx="14">
                    <c:v>PG</c:v>
                  </c:pt>
                  <c:pt idx="15">
                    <c:v>PG</c:v>
                  </c:pt>
                  <c:pt idx="16">
                    <c:v>G</c:v>
                  </c:pt>
                  <c:pt idx="17">
                    <c:v>PG</c:v>
                  </c:pt>
                  <c:pt idx="18">
                    <c:v>PG</c:v>
                  </c:pt>
                  <c:pt idx="19">
                    <c:v>G</c:v>
                  </c:pt>
                  <c:pt idx="20">
                    <c:v>PG</c:v>
                  </c:pt>
                  <c:pt idx="21">
                    <c:v>PG</c:v>
                  </c:pt>
                  <c:pt idx="22">
                    <c:v>PG</c:v>
                  </c:pt>
                  <c:pt idx="23">
                    <c:v>PG</c:v>
                  </c:pt>
                  <c:pt idx="24">
                    <c:v>PG</c:v>
                  </c:pt>
                </c:lvl>
                <c:lvl>
                  <c:pt idx="0">
                    <c:v>1995</c:v>
                  </c:pt>
                  <c:pt idx="1">
                    <c:v>1998</c:v>
                  </c:pt>
                  <c:pt idx="2">
                    <c:v>1999</c:v>
                  </c:pt>
                  <c:pt idx="3">
                    <c:v>2001</c:v>
                  </c:pt>
                  <c:pt idx="4">
                    <c:v>2003</c:v>
                  </c:pt>
                  <c:pt idx="5">
                    <c:v>2004</c:v>
                  </c:pt>
                  <c:pt idx="6">
                    <c:v>2006</c:v>
                  </c:pt>
                  <c:pt idx="7">
                    <c:v>2007</c:v>
                  </c:pt>
                  <c:pt idx="8">
                    <c:v>2008</c:v>
                  </c:pt>
                  <c:pt idx="9">
                    <c:v>2009</c:v>
                  </c:pt>
                  <c:pt idx="10">
                    <c:v>2010</c:v>
                  </c:pt>
                  <c:pt idx="11">
                    <c:v>2011</c:v>
                  </c:pt>
                  <c:pt idx="12">
                    <c:v>2012</c:v>
                  </c:pt>
                  <c:pt idx="13">
                    <c:v>2013</c:v>
                  </c:pt>
                  <c:pt idx="14">
                    <c:v>2015</c:v>
                  </c:pt>
                  <c:pt idx="15">
                    <c:v>2016</c:v>
                  </c:pt>
                  <c:pt idx="16">
                    <c:v>2017</c:v>
                  </c:pt>
                  <c:pt idx="18">
                    <c:v>2018</c:v>
                  </c:pt>
                  <c:pt idx="19">
                    <c:v>2019</c:v>
                  </c:pt>
                  <c:pt idx="20">
                    <c:v>2020</c:v>
                  </c:pt>
                  <c:pt idx="21">
                    <c:v>2021</c:v>
                  </c:pt>
                  <c:pt idx="22">
                    <c:v>2022</c:v>
                  </c:pt>
                  <c:pt idx="23">
                    <c:v>2023</c:v>
                  </c:pt>
                  <c:pt idx="24">
                    <c:v>2024</c:v>
                  </c:pt>
                </c:lvl>
              </c:multiLvlStrCache>
            </c:multiLvlStrRef>
          </c:cat>
          <c:val>
            <c:numRef>
              <c:f>'pivot tables'!$U$6:$U$55</c:f>
              <c:numCache>
                <c:formatCode>General</c:formatCode>
                <c:ptCount val="25"/>
                <c:pt idx="17">
                  <c:v>1</c:v>
                </c:pt>
              </c:numCache>
            </c:numRef>
          </c:val>
          <c:extLst>
            <c:ext xmlns:c16="http://schemas.microsoft.com/office/drawing/2014/chart" uri="{C3380CC4-5D6E-409C-BE32-E72D297353CC}">
              <c16:uniqueId val="{00000004-ED2D-446E-8796-544EAF98F48C}"/>
            </c:ext>
          </c:extLst>
        </c:ser>
        <c:ser>
          <c:idx val="5"/>
          <c:order val="5"/>
          <c:tx>
            <c:strRef>
              <c:f>'pivot tables'!$V$4:$V$5</c:f>
              <c:strCache>
                <c:ptCount val="1"/>
                <c:pt idx="0">
                  <c:v>Family</c:v>
                </c:pt>
              </c:strCache>
            </c:strRef>
          </c:tx>
          <c:spPr>
            <a:solidFill>
              <a:schemeClr val="accent6"/>
            </a:solidFill>
            <a:ln>
              <a:noFill/>
            </a:ln>
            <a:effectLst/>
          </c:spPr>
          <c:invertIfNegative val="0"/>
          <c:cat>
            <c:multiLvlStrRef>
              <c:f>'pivot tables'!$P$6:$P$55</c:f>
              <c:multiLvlStrCache>
                <c:ptCount val="25"/>
                <c:lvl>
                  <c:pt idx="0">
                    <c:v>G</c:v>
                  </c:pt>
                  <c:pt idx="1">
                    <c:v>G</c:v>
                  </c:pt>
                  <c:pt idx="2">
                    <c:v>G</c:v>
                  </c:pt>
                  <c:pt idx="3">
                    <c:v>G</c:v>
                  </c:pt>
                  <c:pt idx="4">
                    <c:v>G</c:v>
                  </c:pt>
                  <c:pt idx="5">
                    <c:v>PG</c:v>
                  </c:pt>
                  <c:pt idx="6">
                    <c:v>G</c:v>
                  </c:pt>
                  <c:pt idx="7">
                    <c:v>G</c:v>
                  </c:pt>
                  <c:pt idx="8">
                    <c:v>G</c:v>
                  </c:pt>
                  <c:pt idx="9">
                    <c:v>PG</c:v>
                  </c:pt>
                  <c:pt idx="10">
                    <c:v>G</c:v>
                  </c:pt>
                  <c:pt idx="11">
                    <c:v>G</c:v>
                  </c:pt>
                  <c:pt idx="12">
                    <c:v>PG</c:v>
                  </c:pt>
                  <c:pt idx="13">
                    <c:v>G</c:v>
                  </c:pt>
                  <c:pt idx="14">
                    <c:v>PG</c:v>
                  </c:pt>
                  <c:pt idx="15">
                    <c:v>PG</c:v>
                  </c:pt>
                  <c:pt idx="16">
                    <c:v>G</c:v>
                  </c:pt>
                  <c:pt idx="17">
                    <c:v>PG</c:v>
                  </c:pt>
                  <c:pt idx="18">
                    <c:v>PG</c:v>
                  </c:pt>
                  <c:pt idx="19">
                    <c:v>G</c:v>
                  </c:pt>
                  <c:pt idx="20">
                    <c:v>PG</c:v>
                  </c:pt>
                  <c:pt idx="21">
                    <c:v>PG</c:v>
                  </c:pt>
                  <c:pt idx="22">
                    <c:v>PG</c:v>
                  </c:pt>
                  <c:pt idx="23">
                    <c:v>PG</c:v>
                  </c:pt>
                  <c:pt idx="24">
                    <c:v>PG</c:v>
                  </c:pt>
                </c:lvl>
                <c:lvl>
                  <c:pt idx="0">
                    <c:v>1995</c:v>
                  </c:pt>
                  <c:pt idx="1">
                    <c:v>1998</c:v>
                  </c:pt>
                  <c:pt idx="2">
                    <c:v>1999</c:v>
                  </c:pt>
                  <c:pt idx="3">
                    <c:v>2001</c:v>
                  </c:pt>
                  <c:pt idx="4">
                    <c:v>2003</c:v>
                  </c:pt>
                  <c:pt idx="5">
                    <c:v>2004</c:v>
                  </c:pt>
                  <c:pt idx="6">
                    <c:v>2006</c:v>
                  </c:pt>
                  <c:pt idx="7">
                    <c:v>2007</c:v>
                  </c:pt>
                  <c:pt idx="8">
                    <c:v>2008</c:v>
                  </c:pt>
                  <c:pt idx="9">
                    <c:v>2009</c:v>
                  </c:pt>
                  <c:pt idx="10">
                    <c:v>2010</c:v>
                  </c:pt>
                  <c:pt idx="11">
                    <c:v>2011</c:v>
                  </c:pt>
                  <c:pt idx="12">
                    <c:v>2012</c:v>
                  </c:pt>
                  <c:pt idx="13">
                    <c:v>2013</c:v>
                  </c:pt>
                  <c:pt idx="14">
                    <c:v>2015</c:v>
                  </c:pt>
                  <c:pt idx="15">
                    <c:v>2016</c:v>
                  </c:pt>
                  <c:pt idx="16">
                    <c:v>2017</c:v>
                  </c:pt>
                  <c:pt idx="18">
                    <c:v>2018</c:v>
                  </c:pt>
                  <c:pt idx="19">
                    <c:v>2019</c:v>
                  </c:pt>
                  <c:pt idx="20">
                    <c:v>2020</c:v>
                  </c:pt>
                  <c:pt idx="21">
                    <c:v>2021</c:v>
                  </c:pt>
                  <c:pt idx="22">
                    <c:v>2022</c:v>
                  </c:pt>
                  <c:pt idx="23">
                    <c:v>2023</c:v>
                  </c:pt>
                  <c:pt idx="24">
                    <c:v>2024</c:v>
                  </c:pt>
                </c:lvl>
              </c:multiLvlStrCache>
            </c:multiLvlStrRef>
          </c:cat>
          <c:val>
            <c:numRef>
              <c:f>'pivot tables'!$V$6:$V$55</c:f>
              <c:numCache>
                <c:formatCode>General</c:formatCode>
                <c:ptCount val="25"/>
                <c:pt idx="8">
                  <c:v>1</c:v>
                </c:pt>
              </c:numCache>
            </c:numRef>
          </c:val>
          <c:extLst>
            <c:ext xmlns:c16="http://schemas.microsoft.com/office/drawing/2014/chart" uri="{C3380CC4-5D6E-409C-BE32-E72D297353CC}">
              <c16:uniqueId val="{00000005-ED2D-446E-8796-544EAF98F48C}"/>
            </c:ext>
          </c:extLst>
        </c:ser>
        <c:dLbls>
          <c:showLegendKey val="0"/>
          <c:showVal val="0"/>
          <c:showCatName val="0"/>
          <c:showSerName val="0"/>
          <c:showPercent val="0"/>
          <c:showBubbleSize val="0"/>
        </c:dLbls>
        <c:gapWidth val="219"/>
        <c:overlap val="100"/>
        <c:axId val="1463759087"/>
        <c:axId val="1463774895"/>
      </c:barChart>
      <c:catAx>
        <c:axId val="1463759087"/>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Release  Year</a:t>
                </a:r>
              </a:p>
            </c:rich>
          </c:tx>
          <c:layout>
            <c:manualLayout>
              <c:xMode val="edge"/>
              <c:yMode val="edge"/>
              <c:x val="0.44907185907978292"/>
              <c:y val="0.9195498367582101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774895"/>
        <c:crosses val="autoZero"/>
        <c:auto val="1"/>
        <c:lblAlgn val="ctr"/>
        <c:lblOffset val="100"/>
        <c:noMultiLvlLbl val="0"/>
      </c:catAx>
      <c:valAx>
        <c:axId val="14637748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 of</a:t>
                </a:r>
                <a:r>
                  <a:rPr lang="en-US" sz="1400" b="1" baseline="0"/>
                  <a:t> Total Films Released</a:t>
                </a:r>
                <a:endParaRPr lang="en-US" sz="1400" b="1"/>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759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[PixarWin.xlsx]pivot tables!PivotTable1</c:name>
    <c:fmtId val="4"/>
  </c:pivotSource>
  <c:chart>
    <c:title>
      <c:tx>
        <c:rich>
          <a:bodyPr rot="0" spcFirstLastPara="1" vertOverflow="ellipsis" vert="horz" wrap="square" anchor="ctr" anchorCtr="1"/>
          <a:lstStyle/>
          <a:p>
            <a:pPr>
              <a:defRPr sz="1800" b="1" i="0" u="none" strike="noStrike" kern="1200" spc="0" baseline="0">
                <a:ln>
                  <a:noFill/>
                </a:ln>
                <a:solidFill>
                  <a:schemeClr val="tx1">
                    <a:lumMod val="65000"/>
                    <a:lumOff val="35000"/>
                  </a:schemeClr>
                </a:solidFill>
                <a:latin typeface="+mn-lt"/>
                <a:ea typeface="+mn-ea"/>
                <a:cs typeface="+mn-cs"/>
              </a:defRPr>
            </a:pPr>
            <a:r>
              <a:rPr lang="en-US" sz="1800" b="1"/>
              <a:t>Budget Investment vs Global Box Office </a:t>
            </a:r>
          </a:p>
        </c:rich>
      </c:tx>
      <c:overlay val="0"/>
      <c:spPr>
        <a:noFill/>
        <a:ln>
          <a:noFill/>
        </a:ln>
        <a:effectLst/>
      </c:spPr>
      <c:txPr>
        <a:bodyPr rot="0" spcFirstLastPara="1" vertOverflow="ellipsis" vert="horz" wrap="square" anchor="ctr" anchorCtr="1"/>
        <a:lstStyle/>
        <a:p>
          <a:pPr>
            <a:defRPr sz="1800" b="1" i="0" u="none" strike="noStrike" kern="1200" spc="0" baseline="0">
              <a:ln>
                <a:no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c:f>
              <c:strCache>
                <c:ptCount val="1"/>
                <c:pt idx="0">
                  <c:v>Budget</c:v>
                </c:pt>
              </c:strCache>
            </c:strRef>
          </c:tx>
          <c:spPr>
            <a:solidFill>
              <a:schemeClr val="accent1"/>
            </a:solidFill>
            <a:ln>
              <a:noFill/>
            </a:ln>
            <a:effectLst/>
          </c:spPr>
          <c:invertIfNegative val="0"/>
          <c:cat>
            <c:strRef>
              <c:f>'pivot tables'!$A$2:$A$12</c:f>
              <c:strCache>
                <c:ptCount val="10"/>
                <c:pt idx="0">
                  <c:v>Inside Out 2</c:v>
                </c:pt>
                <c:pt idx="1">
                  <c:v>Incredibles 2</c:v>
                </c:pt>
                <c:pt idx="2">
                  <c:v>Toy Story 4</c:v>
                </c:pt>
                <c:pt idx="3">
                  <c:v>Toy Story 3</c:v>
                </c:pt>
                <c:pt idx="4">
                  <c:v>Finding Dory</c:v>
                </c:pt>
                <c:pt idx="5">
                  <c:v>Finding Nemo</c:v>
                </c:pt>
                <c:pt idx="6">
                  <c:v>Inside Out</c:v>
                </c:pt>
                <c:pt idx="7">
                  <c:v>Coco</c:v>
                </c:pt>
                <c:pt idx="8">
                  <c:v>Monsters University</c:v>
                </c:pt>
                <c:pt idx="9">
                  <c:v>Up</c:v>
                </c:pt>
              </c:strCache>
            </c:strRef>
          </c:cat>
          <c:val>
            <c:numRef>
              <c:f>'pivot tables'!$B$2:$B$12</c:f>
              <c:numCache>
                <c:formatCode>\$#,##0;\(\$#,##0\);\$#,##0</c:formatCode>
                <c:ptCount val="10"/>
                <c:pt idx="0">
                  <c:v>200000000</c:v>
                </c:pt>
                <c:pt idx="1">
                  <c:v>200000000</c:v>
                </c:pt>
                <c:pt idx="2">
                  <c:v>200000000</c:v>
                </c:pt>
                <c:pt idx="3">
                  <c:v>200000000</c:v>
                </c:pt>
                <c:pt idx="4">
                  <c:v>200000000</c:v>
                </c:pt>
                <c:pt idx="5">
                  <c:v>94000000</c:v>
                </c:pt>
                <c:pt idx="6">
                  <c:v>175000000</c:v>
                </c:pt>
                <c:pt idx="7">
                  <c:v>175000000</c:v>
                </c:pt>
                <c:pt idx="8">
                  <c:v>200000000</c:v>
                </c:pt>
                <c:pt idx="9">
                  <c:v>175000000</c:v>
                </c:pt>
              </c:numCache>
            </c:numRef>
          </c:val>
          <c:extLst>
            <c:ext xmlns:c16="http://schemas.microsoft.com/office/drawing/2014/chart" uri="{C3380CC4-5D6E-409C-BE32-E72D297353CC}">
              <c16:uniqueId val="{00000000-2149-4DE1-9081-D21DB38F0EA5}"/>
            </c:ext>
          </c:extLst>
        </c:ser>
        <c:dLbls>
          <c:showLegendKey val="0"/>
          <c:showVal val="0"/>
          <c:showCatName val="0"/>
          <c:showSerName val="0"/>
          <c:showPercent val="0"/>
          <c:showBubbleSize val="0"/>
        </c:dLbls>
        <c:gapWidth val="219"/>
        <c:axId val="1173966032"/>
        <c:axId val="1173968112"/>
      </c:barChart>
      <c:lineChart>
        <c:grouping val="standard"/>
        <c:varyColors val="0"/>
        <c:ser>
          <c:idx val="1"/>
          <c:order val="1"/>
          <c:tx>
            <c:strRef>
              <c:f>'pivot tables'!$C$1</c:f>
              <c:strCache>
                <c:ptCount val="1"/>
                <c:pt idx="0">
                  <c:v>Box Office</c:v>
                </c:pt>
              </c:strCache>
            </c:strRef>
          </c:tx>
          <c:spPr>
            <a:ln w="28575" cap="rnd">
              <a:solidFill>
                <a:schemeClr val="accent2"/>
              </a:solidFill>
              <a:round/>
            </a:ln>
            <a:effectLst/>
          </c:spPr>
          <c:marker>
            <c:symbol val="none"/>
          </c:marker>
          <c:cat>
            <c:strRef>
              <c:f>'pivot tables'!$A$2:$A$12</c:f>
              <c:strCache>
                <c:ptCount val="10"/>
                <c:pt idx="0">
                  <c:v>Inside Out 2</c:v>
                </c:pt>
                <c:pt idx="1">
                  <c:v>Incredibles 2</c:v>
                </c:pt>
                <c:pt idx="2">
                  <c:v>Toy Story 4</c:v>
                </c:pt>
                <c:pt idx="3">
                  <c:v>Toy Story 3</c:v>
                </c:pt>
                <c:pt idx="4">
                  <c:v>Finding Dory</c:v>
                </c:pt>
                <c:pt idx="5">
                  <c:v>Finding Nemo</c:v>
                </c:pt>
                <c:pt idx="6">
                  <c:v>Inside Out</c:v>
                </c:pt>
                <c:pt idx="7">
                  <c:v>Coco</c:v>
                </c:pt>
                <c:pt idx="8">
                  <c:v>Monsters University</c:v>
                </c:pt>
                <c:pt idx="9">
                  <c:v>Up</c:v>
                </c:pt>
              </c:strCache>
            </c:strRef>
          </c:cat>
          <c:val>
            <c:numRef>
              <c:f>'pivot tables'!$C$2:$C$12</c:f>
              <c:numCache>
                <c:formatCode>\$#,##0;\(\$#,##0\);\$#,##0</c:formatCode>
                <c:ptCount val="10"/>
                <c:pt idx="0">
                  <c:v>1698030965</c:v>
                </c:pt>
                <c:pt idx="1">
                  <c:v>1242805359</c:v>
                </c:pt>
                <c:pt idx="2">
                  <c:v>1073394593</c:v>
                </c:pt>
                <c:pt idx="3">
                  <c:v>1066969703</c:v>
                </c:pt>
                <c:pt idx="4">
                  <c:v>1028570889</c:v>
                </c:pt>
                <c:pt idx="5">
                  <c:v>871014978</c:v>
                </c:pt>
                <c:pt idx="6">
                  <c:v>857611174</c:v>
                </c:pt>
                <c:pt idx="7">
                  <c:v>814641172</c:v>
                </c:pt>
                <c:pt idx="8">
                  <c:v>743559607</c:v>
                </c:pt>
                <c:pt idx="9">
                  <c:v>735099082</c:v>
                </c:pt>
              </c:numCache>
            </c:numRef>
          </c:val>
          <c:smooth val="0"/>
          <c:extLst>
            <c:ext xmlns:c16="http://schemas.microsoft.com/office/drawing/2014/chart" uri="{C3380CC4-5D6E-409C-BE32-E72D297353CC}">
              <c16:uniqueId val="{00000001-2149-4DE1-9081-D21DB38F0EA5}"/>
            </c:ext>
          </c:extLst>
        </c:ser>
        <c:dLbls>
          <c:showLegendKey val="0"/>
          <c:showVal val="0"/>
          <c:showCatName val="0"/>
          <c:showSerName val="0"/>
          <c:showPercent val="0"/>
          <c:showBubbleSize val="0"/>
        </c:dLbls>
        <c:marker val="1"/>
        <c:smooth val="0"/>
        <c:axId val="1314981824"/>
        <c:axId val="1314958944"/>
      </c:lineChart>
      <c:catAx>
        <c:axId val="1173966032"/>
        <c:scaling>
          <c:orientation val="minMax"/>
        </c:scaling>
        <c:delete val="0"/>
        <c:axPos val="b"/>
        <c:title>
          <c:tx>
            <c:rich>
              <a:bodyPr rot="0" spcFirstLastPara="1" vertOverflow="ellipsis" vert="horz" wrap="square" anchor="ctr" anchorCtr="1"/>
              <a:lstStyle/>
              <a:p>
                <a:pPr>
                  <a:defRPr sz="1400" b="1" i="0" u="none" strike="noStrike" kern="1200" baseline="0">
                    <a:ln>
                      <a:noFill/>
                    </a:ln>
                    <a:solidFill>
                      <a:schemeClr val="tx1">
                        <a:lumMod val="65000"/>
                        <a:lumOff val="35000"/>
                      </a:schemeClr>
                    </a:solidFill>
                    <a:latin typeface="+mn-lt"/>
                    <a:ea typeface="+mn-ea"/>
                    <a:cs typeface="+mn-cs"/>
                  </a:defRPr>
                </a:pPr>
                <a:r>
                  <a:rPr lang="en-US" sz="1400" b="1"/>
                  <a:t>Films</a:t>
                </a:r>
              </a:p>
            </c:rich>
          </c:tx>
          <c:layout>
            <c:manualLayout>
              <c:xMode val="edge"/>
              <c:yMode val="edge"/>
              <c:x val="0.38478053463850886"/>
              <c:y val="0.90418176393871652"/>
            </c:manualLayout>
          </c:layout>
          <c:overlay val="0"/>
          <c:spPr>
            <a:noFill/>
            <a:ln>
              <a:noFill/>
            </a:ln>
            <a:effectLst/>
          </c:spPr>
          <c:txPr>
            <a:bodyPr rot="0" spcFirstLastPara="1" vertOverflow="ellipsis" vert="horz" wrap="square" anchor="ctr" anchorCtr="1"/>
            <a:lstStyle/>
            <a:p>
              <a:pPr>
                <a:defRPr sz="1400" b="1" i="0" u="none" strike="noStrike" kern="1200" baseline="0">
                  <a:ln>
                    <a:noFill/>
                  </a:ln>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173968112"/>
        <c:crosses val="autoZero"/>
        <c:auto val="1"/>
        <c:lblAlgn val="ctr"/>
        <c:lblOffset val="100"/>
        <c:noMultiLvlLbl val="0"/>
      </c:catAx>
      <c:valAx>
        <c:axId val="11739681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ln>
                      <a:noFill/>
                    </a:ln>
                    <a:solidFill>
                      <a:schemeClr val="tx1">
                        <a:lumMod val="65000"/>
                        <a:lumOff val="35000"/>
                      </a:schemeClr>
                    </a:solidFill>
                    <a:latin typeface="+mn-lt"/>
                    <a:ea typeface="+mn-ea"/>
                    <a:cs typeface="+mn-cs"/>
                  </a:defRPr>
                </a:pPr>
                <a:r>
                  <a:rPr lang="en-US" sz="1400" b="1"/>
                  <a:t>Budget</a:t>
                </a:r>
              </a:p>
            </c:rich>
          </c:tx>
          <c:overlay val="0"/>
          <c:spPr>
            <a:noFill/>
            <a:ln>
              <a:noFill/>
            </a:ln>
            <a:effectLst/>
          </c:spPr>
          <c:txPr>
            <a:bodyPr rot="-5400000" spcFirstLastPara="1" vertOverflow="ellipsis" vert="horz" wrap="square" anchor="ctr" anchorCtr="1"/>
            <a:lstStyle/>
            <a:p>
              <a:pPr>
                <a:defRPr sz="1400" b="1" i="0" u="none" strike="noStrike" kern="1200" baseline="0">
                  <a:ln>
                    <a:noFill/>
                  </a:ln>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173966032"/>
        <c:crosses val="autoZero"/>
        <c:crossBetween val="between"/>
      </c:valAx>
      <c:valAx>
        <c:axId val="1314958944"/>
        <c:scaling>
          <c:orientation val="minMax"/>
        </c:scaling>
        <c:delete val="0"/>
        <c:axPos val="r"/>
        <c:title>
          <c:tx>
            <c:rich>
              <a:bodyPr rot="-5400000" spcFirstLastPara="1" vertOverflow="ellipsis" vert="horz" wrap="square" anchor="ctr" anchorCtr="1"/>
              <a:lstStyle/>
              <a:p>
                <a:pPr>
                  <a:defRPr sz="1400" b="1" i="0" u="none" strike="noStrike" kern="1200" baseline="0">
                    <a:ln>
                      <a:noFill/>
                    </a:ln>
                    <a:solidFill>
                      <a:schemeClr val="tx1">
                        <a:lumMod val="65000"/>
                        <a:lumOff val="35000"/>
                      </a:schemeClr>
                    </a:solidFill>
                    <a:latin typeface="+mn-lt"/>
                    <a:ea typeface="+mn-ea"/>
                    <a:cs typeface="+mn-cs"/>
                  </a:defRPr>
                </a:pPr>
                <a:r>
                  <a:rPr lang="en-US" sz="1400" b="1"/>
                  <a:t>Box Office Revenue</a:t>
                </a:r>
              </a:p>
            </c:rich>
          </c:tx>
          <c:overlay val="0"/>
          <c:spPr>
            <a:noFill/>
            <a:ln>
              <a:noFill/>
            </a:ln>
            <a:effectLst/>
          </c:spPr>
          <c:txPr>
            <a:bodyPr rot="-5400000" spcFirstLastPara="1" vertOverflow="ellipsis" vert="horz" wrap="square" anchor="ctr" anchorCtr="1"/>
            <a:lstStyle/>
            <a:p>
              <a:pPr>
                <a:defRPr sz="1400" b="1" i="0" u="none" strike="noStrike" kern="1200" baseline="0">
                  <a:ln>
                    <a:noFill/>
                  </a:ln>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314981824"/>
        <c:crosses val="max"/>
        <c:crossBetween val="between"/>
      </c:valAx>
      <c:catAx>
        <c:axId val="1314981824"/>
        <c:scaling>
          <c:orientation val="minMax"/>
        </c:scaling>
        <c:delete val="1"/>
        <c:axPos val="b"/>
        <c:numFmt formatCode="General" sourceLinked="1"/>
        <c:majorTickMark val="out"/>
        <c:minorTickMark val="none"/>
        <c:tickLblPos val="nextTo"/>
        <c:crossAx val="131495894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[PixarWin.xlsx]pivot tables!PivotTable2</c:name>
    <c:fmtId val="4"/>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Awards Vs Ratings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2"/>
            </a:solidFill>
            <a:round/>
          </a:ln>
          <a:effectLst/>
        </c:spPr>
        <c:marker>
          <c:symbol val="none"/>
        </c:marke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tables'!$F$3</c:f>
              <c:strCache>
                <c:ptCount val="1"/>
                <c:pt idx="0">
                  <c:v>Awards Won</c:v>
                </c:pt>
              </c:strCache>
            </c:strRef>
          </c:tx>
          <c:spPr>
            <a:solidFill>
              <a:schemeClr val="accent1"/>
            </a:solidFill>
            <a:ln>
              <a:noFill/>
            </a:ln>
            <a:effectLst/>
          </c:spPr>
          <c:invertIfNegative val="0"/>
          <c:cat>
            <c:strRef>
              <c:f>'pivot tables'!$E$4:$E$14</c:f>
              <c:strCache>
                <c:ptCount val="10"/>
                <c:pt idx="0">
                  <c:v>Monsters, Inc.</c:v>
                </c:pt>
                <c:pt idx="1">
                  <c:v>Ratatouille</c:v>
                </c:pt>
                <c:pt idx="2">
                  <c:v>Inside Out</c:v>
                </c:pt>
                <c:pt idx="3">
                  <c:v>Finding Nemo</c:v>
                </c:pt>
                <c:pt idx="4">
                  <c:v>Brave</c:v>
                </c:pt>
                <c:pt idx="5">
                  <c:v>Coco</c:v>
                </c:pt>
                <c:pt idx="6">
                  <c:v>The Incredibles</c:v>
                </c:pt>
                <c:pt idx="7">
                  <c:v>Toy Story 3</c:v>
                </c:pt>
                <c:pt idx="8">
                  <c:v>Soul</c:v>
                </c:pt>
                <c:pt idx="9">
                  <c:v>Up</c:v>
                </c:pt>
              </c:strCache>
            </c:strRef>
          </c:cat>
          <c:val>
            <c:numRef>
              <c:f>'pivot tables'!$F$4:$F$14</c:f>
              <c:numCache>
                <c:formatCode>General</c:formatCode>
                <c:ptCount val="10"/>
                <c:pt idx="0">
                  <c:v>1</c:v>
                </c:pt>
                <c:pt idx="1">
                  <c:v>1</c:v>
                </c:pt>
                <c:pt idx="2">
                  <c:v>1</c:v>
                </c:pt>
                <c:pt idx="3">
                  <c:v>1</c:v>
                </c:pt>
                <c:pt idx="4">
                  <c:v>1</c:v>
                </c:pt>
                <c:pt idx="5">
                  <c:v>2</c:v>
                </c:pt>
                <c:pt idx="6">
                  <c:v>2</c:v>
                </c:pt>
                <c:pt idx="7">
                  <c:v>2</c:v>
                </c:pt>
                <c:pt idx="8">
                  <c:v>2</c:v>
                </c:pt>
                <c:pt idx="9">
                  <c:v>2</c:v>
                </c:pt>
              </c:numCache>
            </c:numRef>
          </c:val>
          <c:extLst>
            <c:ext xmlns:c16="http://schemas.microsoft.com/office/drawing/2014/chart" uri="{C3380CC4-5D6E-409C-BE32-E72D297353CC}">
              <c16:uniqueId val="{00000000-82A6-4C37-866F-DA37D41E1AF4}"/>
            </c:ext>
          </c:extLst>
        </c:ser>
        <c:dLbls>
          <c:showLegendKey val="0"/>
          <c:showVal val="0"/>
          <c:showCatName val="0"/>
          <c:showSerName val="0"/>
          <c:showPercent val="0"/>
          <c:showBubbleSize val="0"/>
        </c:dLbls>
        <c:gapWidth val="219"/>
        <c:axId val="1730721823"/>
        <c:axId val="1730724735"/>
      </c:barChart>
      <c:lineChart>
        <c:grouping val="standard"/>
        <c:varyColors val="0"/>
        <c:ser>
          <c:idx val="1"/>
          <c:order val="1"/>
          <c:tx>
            <c:strRef>
              <c:f>'pivot tables'!$G$3</c:f>
              <c:strCache>
                <c:ptCount val="1"/>
                <c:pt idx="0">
                  <c:v>Rotten Tomatoe Score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tables'!$E$4:$E$14</c:f>
              <c:strCache>
                <c:ptCount val="10"/>
                <c:pt idx="0">
                  <c:v>Monsters, Inc.</c:v>
                </c:pt>
                <c:pt idx="1">
                  <c:v>Ratatouille</c:v>
                </c:pt>
                <c:pt idx="2">
                  <c:v>Inside Out</c:v>
                </c:pt>
                <c:pt idx="3">
                  <c:v>Finding Nemo</c:v>
                </c:pt>
                <c:pt idx="4">
                  <c:v>Brave</c:v>
                </c:pt>
                <c:pt idx="5">
                  <c:v>Coco</c:v>
                </c:pt>
                <c:pt idx="6">
                  <c:v>The Incredibles</c:v>
                </c:pt>
                <c:pt idx="7">
                  <c:v>Toy Story 3</c:v>
                </c:pt>
                <c:pt idx="8">
                  <c:v>Soul</c:v>
                </c:pt>
                <c:pt idx="9">
                  <c:v>Up</c:v>
                </c:pt>
              </c:strCache>
            </c:strRef>
          </c:cat>
          <c:val>
            <c:numRef>
              <c:f>'pivot tables'!$G$4:$G$14</c:f>
              <c:numCache>
                <c:formatCode>General</c:formatCode>
                <c:ptCount val="10"/>
                <c:pt idx="0">
                  <c:v>96</c:v>
                </c:pt>
                <c:pt idx="1">
                  <c:v>96</c:v>
                </c:pt>
                <c:pt idx="2">
                  <c:v>98</c:v>
                </c:pt>
                <c:pt idx="3">
                  <c:v>99</c:v>
                </c:pt>
                <c:pt idx="4">
                  <c:v>79</c:v>
                </c:pt>
                <c:pt idx="5">
                  <c:v>97</c:v>
                </c:pt>
                <c:pt idx="6">
                  <c:v>97</c:v>
                </c:pt>
                <c:pt idx="7">
                  <c:v>98</c:v>
                </c:pt>
                <c:pt idx="8">
                  <c:v>95</c:v>
                </c:pt>
                <c:pt idx="9">
                  <c:v>98</c:v>
                </c:pt>
              </c:numCache>
            </c:numRef>
          </c:val>
          <c:smooth val="0"/>
          <c:extLst>
            <c:ext xmlns:c16="http://schemas.microsoft.com/office/drawing/2014/chart" uri="{C3380CC4-5D6E-409C-BE32-E72D297353CC}">
              <c16:uniqueId val="{00000001-82A6-4C37-866F-DA37D41E1AF4}"/>
            </c:ext>
          </c:extLst>
        </c:ser>
        <c:dLbls>
          <c:showLegendKey val="0"/>
          <c:showVal val="0"/>
          <c:showCatName val="0"/>
          <c:showSerName val="0"/>
          <c:showPercent val="0"/>
          <c:showBubbleSize val="0"/>
        </c:dLbls>
        <c:marker val="1"/>
        <c:smooth val="0"/>
        <c:axId val="851310591"/>
        <c:axId val="851317663"/>
      </c:lineChart>
      <c:catAx>
        <c:axId val="851310591"/>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Films</a:t>
                </a:r>
              </a:p>
            </c:rich>
          </c:tx>
          <c:layout>
            <c:manualLayout>
              <c:xMode val="edge"/>
              <c:yMode val="edge"/>
              <c:x val="0.41587112386565422"/>
              <c:y val="0.9286508063637303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317663"/>
        <c:crosses val="autoZero"/>
        <c:auto val="1"/>
        <c:lblAlgn val="ctr"/>
        <c:lblOffset val="100"/>
        <c:noMultiLvlLbl val="0"/>
      </c:catAx>
      <c:valAx>
        <c:axId val="851317663"/>
        <c:scaling>
          <c:orientation val="minMax"/>
          <c:max val="100"/>
          <c:min val="7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Rotten Tomato Score</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310591"/>
        <c:crosses val="autoZero"/>
        <c:crossBetween val="between"/>
      </c:valAx>
      <c:valAx>
        <c:axId val="1730724735"/>
        <c:scaling>
          <c:orientation val="minMax"/>
        </c:scaling>
        <c:delete val="0"/>
        <c:axPos val="r"/>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Number of Awards</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721823"/>
        <c:crosses val="max"/>
        <c:crossBetween val="between"/>
      </c:valAx>
      <c:catAx>
        <c:axId val="1730721823"/>
        <c:scaling>
          <c:orientation val="minMax"/>
        </c:scaling>
        <c:delete val="1"/>
        <c:axPos val="b"/>
        <c:numFmt formatCode="General" sourceLinked="1"/>
        <c:majorTickMark val="out"/>
        <c:minorTickMark val="none"/>
        <c:tickLblPos val="nextTo"/>
        <c:crossAx val="173072473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17</xdr:col>
      <xdr:colOff>12476</xdr:colOff>
      <xdr:row>78</xdr:row>
      <xdr:rowOff>115455</xdr:rowOff>
    </xdr:from>
    <xdr:to>
      <xdr:col>29</xdr:col>
      <xdr:colOff>423334</xdr:colOff>
      <xdr:row>111</xdr:row>
      <xdr:rowOff>105833</xdr:rowOff>
    </xdr:to>
    <xdr:graphicFrame macro="">
      <xdr:nvGraphicFramePr>
        <xdr:cNvPr id="3" name="Chart 2">
          <a:extLst>
            <a:ext uri="{FF2B5EF4-FFF2-40B4-BE49-F238E27FC236}">
              <a16:creationId xmlns:a16="http://schemas.microsoft.com/office/drawing/2014/main" id="{47FBAC02-EB4B-4371-89D9-4358332763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1237029</xdr:colOff>
      <xdr:row>87</xdr:row>
      <xdr:rowOff>5863</xdr:rowOff>
    </xdr:from>
    <xdr:to>
      <xdr:col>9</xdr:col>
      <xdr:colOff>444499</xdr:colOff>
      <xdr:row>112</xdr:row>
      <xdr:rowOff>77931</xdr:rowOff>
    </xdr:to>
    <xdr:graphicFrame macro="">
      <xdr:nvGraphicFramePr>
        <xdr:cNvPr id="7" name="Chart 6">
          <a:extLst>
            <a:ext uri="{FF2B5EF4-FFF2-40B4-BE49-F238E27FC236}">
              <a16:creationId xmlns:a16="http://schemas.microsoft.com/office/drawing/2014/main" id="{B28ECBC0-9F83-4A0D-A01D-FA75C0C203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xdr:row>
      <xdr:rowOff>45358</xdr:rowOff>
    </xdr:from>
    <xdr:to>
      <xdr:col>17</xdr:col>
      <xdr:colOff>340179</xdr:colOff>
      <xdr:row>36</xdr:row>
      <xdr:rowOff>162782</xdr:rowOff>
    </xdr:to>
    <xdr:graphicFrame macro="">
      <xdr:nvGraphicFramePr>
        <xdr:cNvPr id="3" name="Chart 2">
          <a:extLst>
            <a:ext uri="{FF2B5EF4-FFF2-40B4-BE49-F238E27FC236}">
              <a16:creationId xmlns:a16="http://schemas.microsoft.com/office/drawing/2014/main" id="{60248CB6-512A-470B-A70E-B2DCC958F4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339131</xdr:colOff>
      <xdr:row>6</xdr:row>
      <xdr:rowOff>68036</xdr:rowOff>
    </xdr:from>
    <xdr:to>
      <xdr:col>36</xdr:col>
      <xdr:colOff>136071</xdr:colOff>
      <xdr:row>37</xdr:row>
      <xdr:rowOff>68035</xdr:rowOff>
    </xdr:to>
    <xdr:graphicFrame macro="">
      <xdr:nvGraphicFramePr>
        <xdr:cNvPr id="4" name="Chart 3">
          <a:extLst>
            <a:ext uri="{FF2B5EF4-FFF2-40B4-BE49-F238E27FC236}">
              <a16:creationId xmlns:a16="http://schemas.microsoft.com/office/drawing/2014/main" id="{289F0953-ADED-41A8-8C5A-3137FD8C5F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361114</xdr:colOff>
      <xdr:row>37</xdr:row>
      <xdr:rowOff>87224</xdr:rowOff>
    </xdr:from>
    <xdr:to>
      <xdr:col>36</xdr:col>
      <xdr:colOff>113393</xdr:colOff>
      <xdr:row>70</xdr:row>
      <xdr:rowOff>89296</xdr:rowOff>
    </xdr:to>
    <xdr:graphicFrame macro="">
      <xdr:nvGraphicFramePr>
        <xdr:cNvPr id="7" name="Chart 6">
          <a:extLst>
            <a:ext uri="{FF2B5EF4-FFF2-40B4-BE49-F238E27FC236}">
              <a16:creationId xmlns:a16="http://schemas.microsoft.com/office/drawing/2014/main" id="{B75146BA-C974-4955-83C5-D8836A5BA0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45357</xdr:colOff>
      <xdr:row>37</xdr:row>
      <xdr:rowOff>10465</xdr:rowOff>
    </xdr:from>
    <xdr:to>
      <xdr:col>17</xdr:col>
      <xdr:colOff>362857</xdr:colOff>
      <xdr:row>70</xdr:row>
      <xdr:rowOff>88900</xdr:rowOff>
    </xdr:to>
    <xdr:graphicFrame macro="">
      <xdr:nvGraphicFramePr>
        <xdr:cNvPr id="8" name="Chart 7">
          <a:extLst>
            <a:ext uri="{FF2B5EF4-FFF2-40B4-BE49-F238E27FC236}">
              <a16:creationId xmlns:a16="http://schemas.microsoft.com/office/drawing/2014/main" id="{8E0AFAB2-717F-49C7-B69C-C2DD77BDD0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22679</xdr:colOff>
      <xdr:row>0</xdr:row>
      <xdr:rowOff>0</xdr:rowOff>
    </xdr:from>
    <xdr:to>
      <xdr:col>36</xdr:col>
      <xdr:colOff>136072</xdr:colOff>
      <xdr:row>6</xdr:row>
      <xdr:rowOff>45358</xdr:rowOff>
    </xdr:to>
    <xdr:sp macro="" textlink="">
      <xdr:nvSpPr>
        <xdr:cNvPr id="6" name="TextBox 5">
          <a:extLst>
            <a:ext uri="{FF2B5EF4-FFF2-40B4-BE49-F238E27FC236}">
              <a16:creationId xmlns:a16="http://schemas.microsoft.com/office/drawing/2014/main" id="{1E980A92-6F6E-463A-BF66-488D3EB23241}"/>
            </a:ext>
          </a:extLst>
        </xdr:cNvPr>
        <xdr:cNvSpPr txBox="1"/>
      </xdr:nvSpPr>
      <xdr:spPr>
        <a:xfrm>
          <a:off x="22679" y="0"/>
          <a:ext cx="22156964" cy="1133929"/>
        </a:xfrm>
        <a:prstGeom prst="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6000" b="1">
              <a:solidFill>
                <a:schemeClr val="bg1"/>
              </a:solidFill>
              <a:latin typeface="Arial Narrow" panose="020B0606020202030204" pitchFamily="34" charset="0"/>
            </a:rPr>
            <a:t>PIXAR</a:t>
          </a:r>
          <a:r>
            <a:rPr lang="en-US" sz="6000" b="1" baseline="0">
              <a:solidFill>
                <a:schemeClr val="bg1"/>
              </a:solidFill>
              <a:latin typeface="Arial Narrow" panose="020B0606020202030204" pitchFamily="34" charset="0"/>
            </a:rPr>
            <a:t> BOX OFFICE &amp; AWARDS ANALYSIS</a:t>
          </a:r>
          <a:endParaRPr lang="en-US" sz="6000" b="1">
            <a:solidFill>
              <a:schemeClr val="bg1"/>
            </a:solidFill>
            <a:latin typeface="Arial Narrow" panose="020B0606020202030204" pitchFamily="34"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820" refreshedDate="46266.674558217594" backgroundQuery="1" createdVersion="7" refreshedVersion="7" minRefreshableVersion="3" recordCount="0" supportSubquery="1" supportAdvancedDrill="1" xr:uid="{DED236EE-FC65-4383-82BB-AD95497EEDE4}">
  <cacheSource type="external" connectionId="13"/>
  <cacheFields count="3">
    <cacheField name="[academy].[film].[film]" caption="film" numFmtId="0" level="1">
      <sharedItems count="15">
        <s v="Cars"/>
        <s v="Cars 2"/>
        <s v="Cars 3"/>
        <s v="Finding Dory"/>
        <s v="Finding Nemo"/>
        <s v="Incredibles 2"/>
        <s v="Inside Out"/>
        <s v="Inside Out 2"/>
        <s v="Monsters University"/>
        <s v="Monsters, Inc."/>
        <s v="The Incredibles"/>
        <s v="Toy Story"/>
        <s v="Toy Story 2"/>
        <s v="Toy Story 3"/>
        <s v="Toy Story 4"/>
      </sharedItems>
    </cacheField>
    <cacheField name="[box_office].[film].[film]" caption="film" numFmtId="0" hierarchy="3" level="1">
      <sharedItems count="15">
        <s v="Cars"/>
        <s v="Cars 2"/>
        <s v="Cars 3"/>
        <s v="Finding Dory"/>
        <s v="Finding Nemo"/>
        <s v="Incredibles 2"/>
        <s v="Inside Out"/>
        <s v="Inside Out 2"/>
        <s v="Monsters University"/>
        <s v="Monsters, Inc."/>
        <s v="The Incredibles"/>
        <s v="Toy Story"/>
        <s v="Toy Story 2"/>
        <s v="Toy Story 3"/>
        <s v="Toy Story 4"/>
      </sharedItems>
    </cacheField>
    <cacheField name="[Measures].[Sum of box_office_worldwide]" caption="Sum of box_office_worldwide" numFmtId="0" hierarchy="66" level="32767"/>
  </cacheFields>
  <cacheHierarchies count="83">
    <cacheHierarchy uniqueName="[academy].[film]" caption="film" attribute="1" defaultMemberUniqueName="[academy].[film].[All]" allUniqueName="[academy].[film].[All]" dimensionUniqueName="[academy]" displayFolder="" count="2" memberValueDatatype="130" unbalanced="0">
      <fieldsUsage count="2">
        <fieldUsage x="-1"/>
        <fieldUsage x="0"/>
      </fieldsUsage>
    </cacheHierarchy>
    <cacheHierarchy uniqueName="[academy].[award_type]" caption="award_type" attribute="1" defaultMemberUniqueName="[academy].[award_type].[All]" allUniqueName="[academy].[award_type].[All]" dimensionUniqueName="[academy]" displayFolder="" count="0" memberValueDatatype="130" unbalanced="0"/>
    <cacheHierarchy uniqueName="[academy].[status]" caption="status" attribute="1" defaultMemberUniqueName="[academy].[status].[All]" allUniqueName="[academy].[status].[All]" dimensionUniqueName="[academy]" displayFolder="" count="0" memberValueDatatype="130" unbalanced="0"/>
    <cacheHierarchy uniqueName="[box_office].[film]" caption="film" attribute="1" defaultMemberUniqueName="[box_office].[film].[All]" allUniqueName="[box_office].[film].[All]" dimensionUniqueName="[box_office]" displayFolder="" count="2" memberValueDatatype="130" unbalanced="0">
      <fieldsUsage count="2">
        <fieldUsage x="-1"/>
        <fieldUsage x="1"/>
      </fieldsUsage>
    </cacheHierarchy>
    <cacheHierarchy uniqueName="[box_office].[budget]" caption="budget" attribute="1" defaultMemberUniqueName="[box_office].[budget].[All]" allUniqueName="[box_office].[budget].[All]" dimensionUniqueName="[box_office]" displayFolder="" count="0" memberValueDatatype="6" unbalanced="0"/>
    <cacheHierarchy uniqueName="[box_office].[box_office_us_canada]" caption="box_office_us_canada" attribute="1" defaultMemberUniqueName="[box_office].[box_office_us_canada].[All]" allUniqueName="[box_office].[box_office_us_canada].[All]" dimensionUniqueName="[box_office]" displayFolder="" count="0" memberValueDatatype="20" unbalanced="0"/>
    <cacheHierarchy uniqueName="[box_office].[box_office_other]" caption="box_office_other" attribute="1" defaultMemberUniqueName="[box_office].[box_office_other].[All]" allUniqueName="[box_office].[box_office_other].[All]" dimensionUniqueName="[box_office]" displayFolder="" count="0" memberValueDatatype="20" unbalanced="0"/>
    <cacheHierarchy uniqueName="[box_office].[box_office_worldwide]" caption="box_office_worldwide" attribute="1" defaultMemberUniqueName="[box_office].[box_office_worldwide].[All]" allUniqueName="[box_office].[box_office_worldwide].[All]" dimensionUniqueName="[box_office]" displayFolder="" count="0" memberValueDatatype="20" unbalanced="0"/>
    <cacheHierarchy uniqueName="[genres].[film]" caption="film" attribute="1" defaultMemberUniqueName="[genres].[film].[All]" allUniqueName="[genres].[film].[All]" dimensionUniqueName="[genres]" displayFolder="" count="0" memberValueDatatype="130" unbalanced="0"/>
    <cacheHierarchy uniqueName="[genres].[category]" caption="category" attribute="1" defaultMemberUniqueName="[genres].[category].[All]" allUniqueName="[genres].[category].[All]" dimensionUniqueName="[genres]" displayFolder="" count="0" memberValueDatatype="130" unbalanced="0"/>
    <cacheHierarchy uniqueName="[genres].[value]" caption="value" attribute="1" defaultMemberUniqueName="[genres].[value].[All]" allUniqueName="[genres].[value].[All]" dimensionUniqueName="[genres]" displayFolder="" count="0" memberValueDatatype="130" unbalanced="0"/>
    <cacheHierarchy uniqueName="[pixar_films].[number]" caption="number" attribute="1" defaultMemberUniqueName="[pixar_films].[number].[All]" allUniqueName="[pixar_films].[number].[All]" dimensionUniqueName="[pixar_films]" displayFolder="" count="0" memberValueDatatype="20" unbalanced="0"/>
    <cacheHierarchy uniqueName="[pixar_films].[film]" caption="film" attribute="1" defaultMemberUniqueName="[pixar_films].[film].[All]" allUniqueName="[pixar_films].[film].[All]" dimensionUniqueName="[pixar_films]" displayFolder="" count="0" memberValueDatatype="130" unbalanced="0"/>
    <cacheHierarchy uniqueName="[pixar_films].[release_date]" caption="release_date" attribute="1" time="1" defaultMemberUniqueName="[pixar_films].[release_date].[All]" allUniqueName="[pixar_films].[release_date].[All]" dimensionUniqueName="[pixar_films]" displayFolder="" count="0" memberValueDatatype="7" unbalanced="0"/>
    <cacheHierarchy uniqueName="[pixar_films].[run_time]" caption="run_time" attribute="1" defaultMemberUniqueName="[pixar_films].[run_time].[All]" allUniqueName="[pixar_films].[run_time].[All]" dimensionUniqueName="[pixar_films]" displayFolder="" count="0" memberValueDatatype="20" unbalanced="0"/>
    <cacheHierarchy uniqueName="[pixar_films].[film_rating]" caption="film_rating" attribute="1" defaultMemberUniqueName="[pixar_films].[film_rating].[All]" allUniqueName="[pixar_films].[film_rating].[All]" dimensionUniqueName="[pixar_films]" displayFolder="" count="0" memberValueDatatype="130" unbalanced="0"/>
    <cacheHierarchy uniqueName="[pixar_films].[plot]" caption="plot" attribute="1" defaultMemberUniqueName="[pixar_films].[plot].[All]" allUniqueName="[pixar_films].[plot].[All]" dimensionUniqueName="[pixar_films]" displayFolder="" count="0" memberValueDatatype="130" unbalanced="0"/>
    <cacheHierarchy uniqueName="[pixar_films].[release_date (Year)]" caption="release_date (Year)" attribute="1" defaultMemberUniqueName="[pixar_films].[release_date (Year)].[All]" allUniqueName="[pixar_films].[release_date (Year)].[All]" dimensionUniqueName="[pixar_films]" displayFolder="" count="0" memberValueDatatype="130" unbalanced="0"/>
    <cacheHierarchy uniqueName="[pixar_films].[release_date (Quarter)]" caption="release_date (Quarter)" attribute="1" defaultMemberUniqueName="[pixar_films].[release_date (Quarter)].[All]" allUniqueName="[pixar_films].[release_date (Quarter)].[All]" dimensionUniqueName="[pixar_films]" displayFolder="" count="0" memberValueDatatype="130" unbalanced="0"/>
    <cacheHierarchy uniqueName="[pixar_films].[release_date (Month)]" caption="release_date (Month)" attribute="1" defaultMemberUniqueName="[pixar_films].[release_date (Month)].[All]" allUniqueName="[pixar_films].[release_date (Month)].[All]" dimensionUniqueName="[pixar_films]" displayFolder="" count="0" memberValueDatatype="130" unbalanced="0"/>
    <cacheHierarchy uniqueName="[pixar_people].[film]" caption="film" attribute="1" defaultMemberUniqueName="[pixar_people].[film].[All]" allUniqueName="[pixar_people].[film].[All]" dimensionUniqueName="[pixar_people]" displayFolder="" count="0" memberValueDatatype="130" unbalanced="0"/>
    <cacheHierarchy uniqueName="[pixar_people].[role_type]" caption="role_type" attribute="1" defaultMemberUniqueName="[pixar_people].[role_type].[All]" allUniqueName="[pixar_people].[role_type].[All]" dimensionUniqueName="[pixar_people]" displayFolder="" count="0" memberValueDatatype="130" unbalanced="0"/>
    <cacheHierarchy uniqueName="[pixar_people].[name]" caption="name" attribute="1" defaultMemberUniqueName="[pixar_people].[name].[All]" allUniqueName="[pixar_people].[name].[All]" dimensionUniqueName="[pixar_people]" displayFolder="" count="0" memberValueDatatype="130" unbalanced="0"/>
    <cacheHierarchy uniqueName="[public_response].[film]" caption="film" attribute="1" defaultMemberUniqueName="[public_response].[film].[All]" allUniqueName="[public_response].[film].[All]" dimensionUniqueName="[public_response]" displayFolder="" count="0" memberValueDatatype="130" unbalanced="0"/>
    <cacheHierarchy uniqueName="[public_response].[rotten_tomatoes_score]" caption="rotten_tomatoes_score" attribute="1" defaultMemberUniqueName="[public_response].[rotten_tomatoes_score].[All]" allUniqueName="[public_response].[rotten_tomatoes_score].[All]" dimensionUniqueName="[public_response]" displayFolder="" count="0" memberValueDatatype="20" unbalanced="0"/>
    <cacheHierarchy uniqueName="[public_response].[rotten_tomatoes_counts]" caption="rotten_tomatoes_counts" attribute="1" defaultMemberUniqueName="[public_response].[rotten_tomatoes_counts].[All]" allUniqueName="[public_response].[rotten_tomatoes_counts].[All]" dimensionUniqueName="[public_response]" displayFolder="" count="0" memberValueDatatype="20" unbalanced="0"/>
    <cacheHierarchy uniqueName="[public_response].[metacritic_score]" caption="metacritic_score" attribute="1" defaultMemberUniqueName="[public_response].[metacritic_score].[All]" allUniqueName="[public_response].[metacritic_score].[All]" dimensionUniqueName="[public_response]" displayFolder="" count="0" memberValueDatatype="20" unbalanced="0"/>
    <cacheHierarchy uniqueName="[public_response].[metacritic_counts]" caption="metacritic_counts" attribute="1" defaultMemberUniqueName="[public_response].[metacritic_counts].[All]" allUniqueName="[public_response].[metacritic_counts].[All]" dimensionUniqueName="[public_response]" displayFolder="" count="0" memberValueDatatype="20" unbalanced="0"/>
    <cacheHierarchy uniqueName="[public_response].[cinema_score]" caption="cinema_score" attribute="1" defaultMemberUniqueName="[public_response].[cinema_score].[All]" allUniqueName="[public_response].[cinema_score].[All]" dimensionUniqueName="[public_response]" displayFolder="" count="0" memberValueDatatype="130" unbalanced="0"/>
    <cacheHierarchy uniqueName="[public_response].[imdb_score]" caption="imdb_score" attribute="1" defaultMemberUniqueName="[public_response].[imdb_score].[All]" allUniqueName="[public_response].[imdb_score].[All]" dimensionUniqueName="[public_response]" displayFolder="" count="0" memberValueDatatype="5" unbalanced="0"/>
    <cacheHierarchy uniqueName="[public_response].[imdb_counts]" caption="imdb_counts" attribute="1" defaultMemberUniqueName="[public_response].[imdb_counts].[All]" allUniqueName="[public_response].[imdb_counts].[All]" dimensionUniqueName="[public_response]" displayFolder="" count="0" memberValueDatatype="20" unbalanced="0"/>
    <cacheHierarchy uniqueName="[Table_academy].[film]" caption="film" attribute="1" defaultMemberUniqueName="[Table_academy].[film].[All]" allUniqueName="[Table_academy].[film].[All]" dimensionUniqueName="[Table_academy]" displayFolder="" count="0" memberValueDatatype="130" unbalanced="0"/>
    <cacheHierarchy uniqueName="[Table_academy].[award_type]" caption="award_type" attribute="1" defaultMemberUniqueName="[Table_academy].[award_type].[All]" allUniqueName="[Table_academy].[award_type].[All]" dimensionUniqueName="[Table_academy]" displayFolder="" count="0" memberValueDatatype="130" unbalanced="0"/>
    <cacheHierarchy uniqueName="[Table_academy].[status]" caption="status" attribute="1" defaultMemberUniqueName="[Table_academy].[status].[All]" allUniqueName="[Table_academy].[status].[All]" dimensionUniqueName="[Table_academy]" displayFolder="" count="0" memberValueDatatype="130" unbalanced="0"/>
    <cacheHierarchy uniqueName="[Table_pixar_films].[number]" caption="number" attribute="1" defaultMemberUniqueName="[Table_pixar_films].[number].[All]" allUniqueName="[Table_pixar_films].[number].[All]" dimensionUniqueName="[Table_pixar_films]" displayFolder="" count="0" memberValueDatatype="20" unbalanced="0"/>
    <cacheHierarchy uniqueName="[Table_pixar_films].[film]" caption="film" attribute="1" defaultMemberUniqueName="[Table_pixar_films].[film].[All]" allUniqueName="[Table_pixar_films].[film].[All]" dimensionUniqueName="[Table_pixar_films]" displayFolder="" count="0" memberValueDatatype="130" unbalanced="0"/>
    <cacheHierarchy uniqueName="[Table_pixar_films].[release_date]" caption="release_date" attribute="1" time="1" defaultMemberUniqueName="[Table_pixar_films].[release_date].[All]" allUniqueName="[Table_pixar_films].[release_date].[All]" dimensionUniqueName="[Table_pixar_films]" displayFolder="" count="0" memberValueDatatype="7" unbalanced="0"/>
    <cacheHierarchy uniqueName="[Table_pixar_films].[run_time]" caption="run_time" attribute="1" defaultMemberUniqueName="[Table_pixar_films].[run_time].[All]" allUniqueName="[Table_pixar_films].[run_time].[All]" dimensionUniqueName="[Table_pixar_films]" displayFolder="" count="0" memberValueDatatype="20" unbalanced="0"/>
    <cacheHierarchy uniqueName="[Table_pixar_films].[film_rating]" caption="film_rating" attribute="1" defaultMemberUniqueName="[Table_pixar_films].[film_rating].[All]" allUniqueName="[Table_pixar_films].[film_rating].[All]" dimensionUniqueName="[Table_pixar_films]" displayFolder="" count="0" memberValueDatatype="130" unbalanced="0"/>
    <cacheHierarchy uniqueName="[Table_pixar_films].[plot]" caption="plot" attribute="1" defaultMemberUniqueName="[Table_pixar_films].[plot].[All]" allUniqueName="[Table_pixar_films].[plot].[All]" dimensionUniqueName="[Table_pixar_films]" displayFolder="" count="0" memberValueDatatype="130" unbalanced="0"/>
    <cacheHierarchy uniqueName="[Table_pixar_films].[release_date (Year)]" caption="release_date (Year)" attribute="1" defaultMemberUniqueName="[Table_pixar_films].[release_date (Year)].[All]" allUniqueName="[Table_pixar_films].[release_date (Year)].[All]" dimensionUniqueName="[Table_pixar_films]" displayFolder="" count="0" memberValueDatatype="130" unbalanced="0"/>
    <cacheHierarchy uniqueName="[Table_pixar_films].[Release Year]" caption="Release Year" attribute="1" defaultMemberUniqueName="[Table_pixar_films].[Release Year].[All]" allUniqueName="[Table_pixar_films].[Release Year].[All]" dimensionUniqueName="[Table_pixar_films]" displayFolder="" count="0" memberValueDatatype="20" unbalanced="0"/>
    <cacheHierarchy uniqueName="[Table_pixar_films].[release_date (Year)1]" caption="release_date (Year)1" attribute="1" defaultMemberUniqueName="[Table_pixar_films].[release_date (Year)1].[All]" allUniqueName="[Table_pixar_films].[release_date (Year)1].[All]" dimensionUniqueName="[Table_pixar_films]" displayFolder="" count="0" memberValueDatatype="130" unbalanced="0"/>
    <cacheHierarchy uniqueName="[Table_pixar_films].[release_date (Quarter)]" caption="release_date (Quarter)" attribute="1" defaultMemberUniqueName="[Table_pixar_films].[release_date (Quarter)].[All]" allUniqueName="[Table_pixar_films].[release_date (Quarter)].[All]" dimensionUniqueName="[Table_pixar_films]" displayFolder="" count="0" memberValueDatatype="130" unbalanced="0"/>
    <cacheHierarchy uniqueName="[Table_pixar_films].[release_date (Month)]" caption="release_date (Month)" attribute="1" defaultMemberUniqueName="[Table_pixar_films].[release_date (Month)].[All]" allUniqueName="[Table_pixar_films].[release_date (Month)].[All]" dimensionUniqueName="[Table_pixar_films]" displayFolder="" count="0" memberValueDatatype="130" unbalanced="0"/>
    <cacheHierarchy uniqueName="[Table_public_response].[film]" caption="film" attribute="1" defaultMemberUniqueName="[Table_public_response].[film].[All]" allUniqueName="[Table_public_response].[film].[All]" dimensionUniqueName="[Table_public_response]" displayFolder="" count="0" memberValueDatatype="130" unbalanced="0"/>
    <cacheHierarchy uniqueName="[Table_public_response].[rotten_tomatoes_score]" caption="rotten_tomatoes_score" attribute="1" defaultMemberUniqueName="[Table_public_response].[rotten_tomatoes_score].[All]" allUniqueName="[Table_public_response].[rotten_tomatoes_score].[All]" dimensionUniqueName="[Table_public_response]" displayFolder="" count="0" memberValueDatatype="20" unbalanced="0"/>
    <cacheHierarchy uniqueName="[Table_public_response].[rotten_tomatoes_counts]" caption="rotten_tomatoes_counts" attribute="1" defaultMemberUniqueName="[Table_public_response].[rotten_tomatoes_counts].[All]" allUniqueName="[Table_public_response].[rotten_tomatoes_counts].[All]" dimensionUniqueName="[Table_public_response]" displayFolder="" count="0" memberValueDatatype="20" unbalanced="0"/>
    <cacheHierarchy uniqueName="[Table_public_response].[metacritic_score]" caption="metacritic_score" attribute="1" defaultMemberUniqueName="[Table_public_response].[metacritic_score].[All]" allUniqueName="[Table_public_response].[metacritic_score].[All]" dimensionUniqueName="[Table_public_response]" displayFolder="" count="0" memberValueDatatype="20" unbalanced="0"/>
    <cacheHierarchy uniqueName="[Table_public_response].[metacritic_counts]" caption="metacritic_counts" attribute="1" defaultMemberUniqueName="[Table_public_response].[metacritic_counts].[All]" allUniqueName="[Table_public_response].[metacritic_counts].[All]" dimensionUniqueName="[Table_public_response]" displayFolder="" count="0" memberValueDatatype="20" unbalanced="0"/>
    <cacheHierarchy uniqueName="[Table_public_response].[cinema_score]" caption="cinema_score" attribute="1" defaultMemberUniqueName="[Table_public_response].[cinema_score].[All]" allUniqueName="[Table_public_response].[cinema_score].[All]" dimensionUniqueName="[Table_public_response]" displayFolder="" count="0" memberValueDatatype="130" unbalanced="0"/>
    <cacheHierarchy uniqueName="[Table_public_response].[imdb_score]" caption="imdb_score" attribute="1" defaultMemberUniqueName="[Table_public_response].[imdb_score].[All]" allUniqueName="[Table_public_response].[imdb_score].[All]" dimensionUniqueName="[Table_public_response]" displayFolder="" count="0" memberValueDatatype="5" unbalanced="0"/>
    <cacheHierarchy uniqueName="[Table_public_response].[imdb_counts]" caption="imdb_counts" attribute="1" defaultMemberUniqueName="[Table_public_response].[imdb_counts].[All]" allUniqueName="[Table_public_response].[imdb_counts].[All]" dimensionUniqueName="[Table_public_response]" displayFolder="" count="0" memberValueDatatype="20" unbalanced="0"/>
    <cacheHierarchy uniqueName="[pixar_films].[release_date (Month Index)]" caption="release_date (Month Index)" attribute="1" defaultMemberUniqueName="[pixar_films].[release_date (Month Index)].[All]" allUniqueName="[pixar_films].[release_date (Month Index)].[All]" dimensionUniqueName="[pixar_films]" displayFolder="" count="0" memberValueDatatype="20" unbalanced="0" hidden="1"/>
    <cacheHierarchy uniqueName="[Table_pixar_films].[release_date (Month Index)]" caption="release_date (Month Index)" attribute="1" defaultMemberUniqueName="[Table_pixar_films].[release_date (Month Index)].[All]" allUniqueName="[Table_pixar_films].[release_date (Month Index)].[All]" dimensionUniqueName="[Table_pixar_films]" displayFolder="" count="0" memberValueDatatype="20" unbalanced="0" hidden="1"/>
    <cacheHierarchy uniqueName="[Measures].[__XL_Count academy]" caption="__XL_Count academy" measure="1" displayFolder="" measureGroup="academy" count="0" hidden="1"/>
    <cacheHierarchy uniqueName="[Measures].[__XL_Count box_office]" caption="__XL_Count box_office" measure="1" displayFolder="" measureGroup="box_office" count="0" hidden="1"/>
    <cacheHierarchy uniqueName="[Measures].[__XL_Count genres]" caption="__XL_Count genres" measure="1" displayFolder="" measureGroup="genres" count="0" hidden="1"/>
    <cacheHierarchy uniqueName="[Measures].[__XL_Count pixar_films]" caption="__XL_Count pixar_films" measure="1" displayFolder="" measureGroup="pixar_films" count="0" hidden="1"/>
    <cacheHierarchy uniqueName="[Measures].[__XL_Count pixar_people]" caption="__XL_Count pixar_people" measure="1" displayFolder="" measureGroup="pixar_people" count="0" hidden="1"/>
    <cacheHierarchy uniqueName="[Measures].[__XL_Count public_response]" caption="__XL_Count public_response" measure="1" displayFolder="" measureGroup="public_response" count="0" hidden="1"/>
    <cacheHierarchy uniqueName="[Measures].[__XL_Count Table_academy]" caption="__XL_Count Table_academy" measure="1" displayFolder="" measureGroup="Table_academy" count="0" hidden="1"/>
    <cacheHierarchy uniqueName="[Measures].[__XL_Count Table_public_response]" caption="__XL_Count Table_public_response" measure="1" displayFolder="" measureGroup="Table_public_response" count="0" hidden="1"/>
    <cacheHierarchy uniqueName="[Measures].[__XL_Count Table_pixar_films]" caption="__XL_Count Table_pixar_films" measure="1" displayFolder="" measureGroup="Table_pixar_films" count="0" hidden="1"/>
    <cacheHierarchy uniqueName="[Measures].[__No measures defined]" caption="__No measures defined" measure="1" displayFolder="" count="0" hidden="1"/>
    <cacheHierarchy uniqueName="[Measures].[Count of budget]" caption="Count of budget" measure="1" displayFolder="" measureGroup="box_office" count="0" hidden="1">
      <extLst>
        <ext xmlns:x15="http://schemas.microsoft.com/office/spreadsheetml/2010/11/main" uri="{B97F6D7D-B522-45F9-BDA1-12C45D357490}">
          <x15:cacheHierarchy aggregatedColumn="4"/>
        </ext>
      </extLst>
    </cacheHierarchy>
    <cacheHierarchy uniqueName="[Measures].[Sum of box_office_worldwide]" caption="Sum of box_office_worldwide" measure="1" displayFolder="" measureGroup="box_office"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budget]" caption="Sum of budget" measure="1" displayFolder="" measureGroup="box_office" count="0" hidden="1">
      <extLst>
        <ext xmlns:x15="http://schemas.microsoft.com/office/spreadsheetml/2010/11/main" uri="{B97F6D7D-B522-45F9-BDA1-12C45D357490}">
          <x15:cacheHierarchy aggregatedColumn="4"/>
        </ext>
      </extLst>
    </cacheHierarchy>
    <cacheHierarchy uniqueName="[Measures].[Count of status]" caption="Count of status" measure="1" displayFolder="" measureGroup="academy" count="0" hidden="1">
      <extLst>
        <ext xmlns:x15="http://schemas.microsoft.com/office/spreadsheetml/2010/11/main" uri="{B97F6D7D-B522-45F9-BDA1-12C45D357490}">
          <x15:cacheHierarchy aggregatedColumn="2"/>
        </ext>
      </extLst>
    </cacheHierarchy>
    <cacheHierarchy uniqueName="[Measures].[Sum of imdb_counts]" caption="Sum of imdb_counts" measure="1" displayFolder="" measureGroup="public_response" count="0" hidden="1">
      <extLst>
        <ext xmlns:x15="http://schemas.microsoft.com/office/spreadsheetml/2010/11/main" uri="{B97F6D7D-B522-45F9-BDA1-12C45D357490}">
          <x15:cacheHierarchy aggregatedColumn="30"/>
        </ext>
      </extLst>
    </cacheHierarchy>
    <cacheHierarchy uniqueName="[Measures].[Count of cinema_score]" caption="Count of cinema_score" measure="1" displayFolder="" measureGroup="public_response" count="0" hidden="1">
      <extLst>
        <ext xmlns:x15="http://schemas.microsoft.com/office/spreadsheetml/2010/11/main" uri="{B97F6D7D-B522-45F9-BDA1-12C45D357490}">
          <x15:cacheHierarchy aggregatedColumn="28"/>
        </ext>
      </extLst>
    </cacheHierarchy>
    <cacheHierarchy uniqueName="[Measures].[Sum of rotten_tomatoes_score]" caption="Sum of rotten_tomatoes_score" measure="1" displayFolder="" measureGroup="public_response" count="0" hidden="1">
      <extLst>
        <ext xmlns:x15="http://schemas.microsoft.com/office/spreadsheetml/2010/11/main" uri="{B97F6D7D-B522-45F9-BDA1-12C45D357490}">
          <x15:cacheHierarchy aggregatedColumn="24"/>
        </ext>
      </extLst>
    </cacheHierarchy>
    <cacheHierarchy uniqueName="[Measures].[Count of rotten_tomatoes_score]" caption="Count of rotten_tomatoes_score" measure="1" displayFolder="" measureGroup="public_response" count="0" hidden="1">
      <extLst>
        <ext xmlns:x15="http://schemas.microsoft.com/office/spreadsheetml/2010/11/main" uri="{B97F6D7D-B522-45F9-BDA1-12C45D357490}">
          <x15:cacheHierarchy aggregatedColumn="24"/>
        </ext>
      </extLst>
    </cacheHierarchy>
    <cacheHierarchy uniqueName="[Measures].[Average of rotten_tomatoes_score]" caption="Average of rotten_tomatoes_score" measure="1" displayFolder="" measureGroup="public_response" count="0" hidden="1">
      <extLst>
        <ext xmlns:x15="http://schemas.microsoft.com/office/spreadsheetml/2010/11/main" uri="{B97F6D7D-B522-45F9-BDA1-12C45D357490}">
          <x15:cacheHierarchy aggregatedColumn="24"/>
        </ext>
      </extLst>
    </cacheHierarchy>
    <cacheHierarchy uniqueName="[Measures].[Count of status 2]" caption="Count of status 2" measure="1" displayFolder="" measureGroup="Table_academy" count="0" hidden="1">
      <extLst>
        <ext xmlns:x15="http://schemas.microsoft.com/office/spreadsheetml/2010/11/main" uri="{B97F6D7D-B522-45F9-BDA1-12C45D357490}">
          <x15:cacheHierarchy aggregatedColumn="33"/>
        </ext>
      </extLst>
    </cacheHierarchy>
    <cacheHierarchy uniqueName="[Measures].[Sum of rotten_tomatoes_score 2]" caption="Sum of rotten_tomatoes_score 2" measure="1" displayFolder="" measureGroup="Table_public_response" count="0" hidden="1">
      <extLst>
        <ext xmlns:x15="http://schemas.microsoft.com/office/spreadsheetml/2010/11/main" uri="{B97F6D7D-B522-45F9-BDA1-12C45D357490}">
          <x15:cacheHierarchy aggregatedColumn="46"/>
        </ext>
      </extLst>
    </cacheHierarchy>
    <cacheHierarchy uniqueName="[Measures].[Count of film_rating]" caption="Count of film_rating" measure="1" displayFolder="" measureGroup="pixar_films" count="0" hidden="1">
      <extLst>
        <ext xmlns:x15="http://schemas.microsoft.com/office/spreadsheetml/2010/11/main" uri="{B97F6D7D-B522-45F9-BDA1-12C45D357490}">
          <x15:cacheHierarchy aggregatedColumn="15"/>
        </ext>
      </extLst>
    </cacheHierarchy>
    <cacheHierarchy uniqueName="[Measures].[Count of value]" caption="Count of value" measure="1" displayFolder="" measureGroup="genres" count="0" hidden="1">
      <extLst>
        <ext xmlns:x15="http://schemas.microsoft.com/office/spreadsheetml/2010/11/main" uri="{B97F6D7D-B522-45F9-BDA1-12C45D357490}">
          <x15:cacheHierarchy aggregatedColumn="10"/>
        </ext>
      </extLst>
    </cacheHierarchy>
    <cacheHierarchy uniqueName="[Measures].[Count of film]" caption="Count of film" measure="1" displayFolder="" measureGroup="pixar_films" count="0" hidden="1">
      <extLst>
        <ext xmlns:x15="http://schemas.microsoft.com/office/spreadsheetml/2010/11/main" uri="{B97F6D7D-B522-45F9-BDA1-12C45D357490}">
          <x15:cacheHierarchy aggregatedColumn="12"/>
        </ext>
      </extLst>
    </cacheHierarchy>
    <cacheHierarchy uniqueName="[Measures].[Count of film 2]" caption="Count of film 2" measure="1" displayFolder="" measureGroup="genres" count="0" hidden="1">
      <extLst>
        <ext xmlns:x15="http://schemas.microsoft.com/office/spreadsheetml/2010/11/main" uri="{B97F6D7D-B522-45F9-BDA1-12C45D357490}">
          <x15:cacheHierarchy aggregatedColumn="8"/>
        </ext>
      </extLst>
    </cacheHierarchy>
    <cacheHierarchy uniqueName="[Measures].[Sum of Release Year]" caption="Sum of Release Year" measure="1" displayFolder="" measureGroup="Table_pixar_films" count="0" hidden="1">
      <extLst>
        <ext xmlns:x15="http://schemas.microsoft.com/office/spreadsheetml/2010/11/main" uri="{B97F6D7D-B522-45F9-BDA1-12C45D357490}">
          <x15:cacheHierarchy aggregatedColumn="41"/>
        </ext>
      </extLst>
    </cacheHierarchy>
    <cacheHierarchy uniqueName="[Measures].[Distinct Count of status]" caption="Distinct Count of status" measure="1" displayFolder="" measureGroup="academy" count="0" hidden="1">
      <extLst>
        <ext xmlns:x15="http://schemas.microsoft.com/office/spreadsheetml/2010/11/main" uri="{B97F6D7D-B522-45F9-BDA1-12C45D357490}">
          <x15:cacheHierarchy aggregatedColumn="2"/>
        </ext>
      </extLst>
    </cacheHierarchy>
    <cacheHierarchy uniqueName="[Measures].[Count of film_rating 2]" caption="Count of film_rating 2" measure="1" displayFolder="" measureGroup="Table_pixar_films" count="0" hidden="1">
      <extLst>
        <ext xmlns:x15="http://schemas.microsoft.com/office/spreadsheetml/2010/11/main" uri="{B97F6D7D-B522-45F9-BDA1-12C45D357490}">
          <x15:cacheHierarchy aggregatedColumn="38"/>
        </ext>
      </extLst>
    </cacheHierarchy>
  </cacheHierarchies>
  <kpis count="0"/>
  <dimensions count="10">
    <dimension name="academy" uniqueName="[academy]" caption="academy"/>
    <dimension name="box_office" uniqueName="[box_office]" caption="box_office"/>
    <dimension name="genres" uniqueName="[genres]" caption="genres"/>
    <dimension measure="1" name="Measures" uniqueName="[Measures]" caption="Measures"/>
    <dimension name="pixar_films" uniqueName="[pixar_films]" caption="pixar_films"/>
    <dimension name="pixar_people" uniqueName="[pixar_people]" caption="pixar_people"/>
    <dimension name="public_response" uniqueName="[public_response]" caption="public_response"/>
    <dimension name="Table_academy" uniqueName="[Table_academy]" caption="Table_academy"/>
    <dimension name="Table_pixar_films" uniqueName="[Table_pixar_films]" caption="Table_pixar_films"/>
    <dimension name="Table_public_response" uniqueName="[Table_public_response]" caption="Table_public_response"/>
  </dimensions>
  <measureGroups count="9">
    <measureGroup name="academy" caption="academy"/>
    <measureGroup name="box_office" caption="box_office"/>
    <measureGroup name="genres" caption="genres"/>
    <measureGroup name="pixar_films" caption="pixar_films"/>
    <measureGroup name="pixar_people" caption="pixar_people"/>
    <measureGroup name="public_response" caption="public_response"/>
    <measureGroup name="Table_academy" caption="Table_academy"/>
    <measureGroup name="Table_pixar_films" caption="Table_pixar_films"/>
    <measureGroup name="Table_public_response" caption="Table_public_response"/>
  </measureGroups>
  <maps count="18">
    <map measureGroup="0" dimension="0"/>
    <map measureGroup="0" dimension="1"/>
    <map measureGroup="0" dimension="4"/>
    <map measureGroup="0" dimension="6"/>
    <map measureGroup="0" dimension="9"/>
    <map measureGroup="1" dimension="1"/>
    <map measureGroup="1" dimension="4"/>
    <map measureGroup="2" dimension="2"/>
    <map measureGroup="2" dimension="4"/>
    <map measureGroup="3" dimension="4"/>
    <map measureGroup="4" dimension="5"/>
    <map measureGroup="5" dimension="1"/>
    <map measureGroup="5" dimension="4"/>
    <map measureGroup="5" dimension="6"/>
    <map measureGroup="6" dimension="7"/>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820" refreshedDate="46269.390858796294" backgroundQuery="1" createdVersion="7" refreshedVersion="7" minRefreshableVersion="3" recordCount="0" supportSubquery="1" supportAdvancedDrill="1" xr:uid="{B945D863-1313-4D1D-9122-E8D57DB7568E}">
  <cacheSource type="external" connectionId="13"/>
  <cacheFields count="3">
    <cacheField name="[Table_pixar_films].[release_date (Year)1].[release_date (Year)1]" caption="release_date (Year)1" numFmtId="0" hierarchy="42" level="1">
      <sharedItems count="24">
        <s v="1995"/>
        <s v="1998"/>
        <s v="1999"/>
        <s v="2001"/>
        <s v="2003"/>
        <s v="2004"/>
        <s v="2006"/>
        <s v="2007"/>
        <s v="2008"/>
        <s v="2009"/>
        <s v="2010"/>
        <s v="2011"/>
        <s v="2012"/>
        <s v="2013"/>
        <s v="2015"/>
        <s v="2016"/>
        <s v="2017"/>
        <s v="2018"/>
        <s v="2019"/>
        <s v="2020"/>
        <s v="2021"/>
        <s v="2022"/>
        <s v="2023"/>
        <s v="2024"/>
      </sharedItems>
    </cacheField>
    <cacheField name="[Measures].[Count of film_rating 2]" caption="Count of film_rating 2" numFmtId="0" hierarchy="82" level="32767"/>
    <cacheField name="[Table_pixar_films].[film_rating].[film_rating]" caption="film_rating" numFmtId="0" hierarchy="38" level="1">
      <sharedItems count="2">
        <s v="G"/>
        <s v="PG"/>
      </sharedItems>
    </cacheField>
  </cacheFields>
  <cacheHierarchies count="83">
    <cacheHierarchy uniqueName="[academy].[film]" caption="film" attribute="1" defaultMemberUniqueName="[academy].[film].[All]" allUniqueName="[academy].[film].[All]" dimensionUniqueName="[academy]" displayFolder="" count="0" memberValueDatatype="130" unbalanced="0"/>
    <cacheHierarchy uniqueName="[academy].[award_type]" caption="award_type" attribute="1" defaultMemberUniqueName="[academy].[award_type].[All]" allUniqueName="[academy].[award_type].[All]" dimensionUniqueName="[academy]" displayFolder="" count="0" memberValueDatatype="130" unbalanced="0"/>
    <cacheHierarchy uniqueName="[academy].[status]" caption="status" attribute="1" defaultMemberUniqueName="[academy].[status].[All]" allUniqueName="[academy].[status].[All]" dimensionUniqueName="[academy]" displayFolder="" count="0" memberValueDatatype="130" unbalanced="0"/>
    <cacheHierarchy uniqueName="[box_office].[film]" caption="film" attribute="1" defaultMemberUniqueName="[box_office].[film].[All]" allUniqueName="[box_office].[film].[All]" dimensionUniqueName="[box_office]" displayFolder="" count="0" memberValueDatatype="130" unbalanced="0"/>
    <cacheHierarchy uniqueName="[box_office].[budget]" caption="budget" attribute="1" defaultMemberUniqueName="[box_office].[budget].[All]" allUniqueName="[box_office].[budget].[All]" dimensionUniqueName="[box_office]" displayFolder="" count="0" memberValueDatatype="6" unbalanced="0"/>
    <cacheHierarchy uniqueName="[box_office].[box_office_us_canada]" caption="box_office_us_canada" attribute="1" defaultMemberUniqueName="[box_office].[box_office_us_canada].[All]" allUniqueName="[box_office].[box_office_us_canada].[All]" dimensionUniqueName="[box_office]" displayFolder="" count="0" memberValueDatatype="20" unbalanced="0"/>
    <cacheHierarchy uniqueName="[box_office].[box_office_other]" caption="box_office_other" attribute="1" defaultMemberUniqueName="[box_office].[box_office_other].[All]" allUniqueName="[box_office].[box_office_other].[All]" dimensionUniqueName="[box_office]" displayFolder="" count="0" memberValueDatatype="20" unbalanced="0"/>
    <cacheHierarchy uniqueName="[box_office].[box_office_worldwide]" caption="box_office_worldwide" attribute="1" defaultMemberUniqueName="[box_office].[box_office_worldwide].[All]" allUniqueName="[box_office].[box_office_worldwide].[All]" dimensionUniqueName="[box_office]" displayFolder="" count="0" memberValueDatatype="20" unbalanced="0"/>
    <cacheHierarchy uniqueName="[genres].[film]" caption="film" attribute="1" defaultMemberUniqueName="[genres].[film].[All]" allUniqueName="[genres].[film].[All]" dimensionUniqueName="[genres]" displayFolder="" count="0" memberValueDatatype="130" unbalanced="0"/>
    <cacheHierarchy uniqueName="[genres].[category]" caption="category" attribute="1" defaultMemberUniqueName="[genres].[category].[All]" allUniqueName="[genres].[category].[All]" dimensionUniqueName="[genres]" displayFolder="" count="0" memberValueDatatype="130" unbalanced="0"/>
    <cacheHierarchy uniqueName="[genres].[value]" caption="value" attribute="1" defaultMemberUniqueName="[genres].[value].[All]" allUniqueName="[genres].[value].[All]" dimensionUniqueName="[genres]" displayFolder="" count="0" memberValueDatatype="130" unbalanced="0"/>
    <cacheHierarchy uniqueName="[pixar_films].[number]" caption="number" attribute="1" defaultMemberUniqueName="[pixar_films].[number].[All]" allUniqueName="[pixar_films].[number].[All]" dimensionUniqueName="[pixar_films]" displayFolder="" count="0" memberValueDatatype="20" unbalanced="0"/>
    <cacheHierarchy uniqueName="[pixar_films].[film]" caption="film" attribute="1" defaultMemberUniqueName="[pixar_films].[film].[All]" allUniqueName="[pixar_films].[film].[All]" dimensionUniqueName="[pixar_films]" displayFolder="" count="0" memberValueDatatype="130" unbalanced="0"/>
    <cacheHierarchy uniqueName="[pixar_films].[release_date]" caption="release_date" attribute="1" time="1" defaultMemberUniqueName="[pixar_films].[release_date].[All]" allUniqueName="[pixar_films].[release_date].[All]" dimensionUniqueName="[pixar_films]" displayFolder="" count="0" memberValueDatatype="7" unbalanced="0"/>
    <cacheHierarchy uniqueName="[pixar_films].[run_time]" caption="run_time" attribute="1" defaultMemberUniqueName="[pixar_films].[run_time].[All]" allUniqueName="[pixar_films].[run_time].[All]" dimensionUniqueName="[pixar_films]" displayFolder="" count="0" memberValueDatatype="20" unbalanced="0"/>
    <cacheHierarchy uniqueName="[pixar_films].[film_rating]" caption="film_rating" attribute="1" defaultMemberUniqueName="[pixar_films].[film_rating].[All]" allUniqueName="[pixar_films].[film_rating].[All]" dimensionUniqueName="[pixar_films]" displayFolder="" count="0" memberValueDatatype="130" unbalanced="0"/>
    <cacheHierarchy uniqueName="[pixar_films].[plot]" caption="plot" attribute="1" defaultMemberUniqueName="[pixar_films].[plot].[All]" allUniqueName="[pixar_films].[plot].[All]" dimensionUniqueName="[pixar_films]" displayFolder="" count="0" memberValueDatatype="130" unbalanced="0"/>
    <cacheHierarchy uniqueName="[pixar_films].[release_date (Year)]" caption="release_date (Year)" attribute="1" defaultMemberUniqueName="[pixar_films].[release_date (Year)].[All]" allUniqueName="[pixar_films].[release_date (Year)].[All]" dimensionUniqueName="[pixar_films]" displayFolder="" count="0" memberValueDatatype="130" unbalanced="0"/>
    <cacheHierarchy uniqueName="[pixar_films].[release_date (Quarter)]" caption="release_date (Quarter)" attribute="1" defaultMemberUniqueName="[pixar_films].[release_date (Quarter)].[All]" allUniqueName="[pixar_films].[release_date (Quarter)].[All]" dimensionUniqueName="[pixar_films]" displayFolder="" count="0" memberValueDatatype="130" unbalanced="0"/>
    <cacheHierarchy uniqueName="[pixar_films].[release_date (Month)]" caption="release_date (Month)" attribute="1" defaultMemberUniqueName="[pixar_films].[release_date (Month)].[All]" allUniqueName="[pixar_films].[release_date (Month)].[All]" dimensionUniqueName="[pixar_films]" displayFolder="" count="0" memberValueDatatype="130" unbalanced="0"/>
    <cacheHierarchy uniqueName="[pixar_people].[film]" caption="film" attribute="1" defaultMemberUniqueName="[pixar_people].[film].[All]" allUniqueName="[pixar_people].[film].[All]" dimensionUniqueName="[pixar_people]" displayFolder="" count="0" memberValueDatatype="130" unbalanced="0"/>
    <cacheHierarchy uniqueName="[pixar_people].[role_type]" caption="role_type" attribute="1" defaultMemberUniqueName="[pixar_people].[role_type].[All]" allUniqueName="[pixar_people].[role_type].[All]" dimensionUniqueName="[pixar_people]" displayFolder="" count="0" memberValueDatatype="130" unbalanced="0"/>
    <cacheHierarchy uniqueName="[pixar_people].[name]" caption="name" attribute="1" defaultMemberUniqueName="[pixar_people].[name].[All]" allUniqueName="[pixar_people].[name].[All]" dimensionUniqueName="[pixar_people]" displayFolder="" count="0" memberValueDatatype="130" unbalanced="0"/>
    <cacheHierarchy uniqueName="[public_response].[film]" caption="film" attribute="1" defaultMemberUniqueName="[public_response].[film].[All]" allUniqueName="[public_response].[film].[All]" dimensionUniqueName="[public_response]" displayFolder="" count="0" memberValueDatatype="130" unbalanced="0"/>
    <cacheHierarchy uniqueName="[public_response].[rotten_tomatoes_score]" caption="rotten_tomatoes_score" attribute="1" defaultMemberUniqueName="[public_response].[rotten_tomatoes_score].[All]" allUniqueName="[public_response].[rotten_tomatoes_score].[All]" dimensionUniqueName="[public_response]" displayFolder="" count="0" memberValueDatatype="20" unbalanced="0"/>
    <cacheHierarchy uniqueName="[public_response].[rotten_tomatoes_counts]" caption="rotten_tomatoes_counts" attribute="1" defaultMemberUniqueName="[public_response].[rotten_tomatoes_counts].[All]" allUniqueName="[public_response].[rotten_tomatoes_counts].[All]" dimensionUniqueName="[public_response]" displayFolder="" count="0" memberValueDatatype="20" unbalanced="0"/>
    <cacheHierarchy uniqueName="[public_response].[metacritic_score]" caption="metacritic_score" attribute="1" defaultMemberUniqueName="[public_response].[metacritic_score].[All]" allUniqueName="[public_response].[metacritic_score].[All]" dimensionUniqueName="[public_response]" displayFolder="" count="0" memberValueDatatype="20" unbalanced="0"/>
    <cacheHierarchy uniqueName="[public_response].[metacritic_counts]" caption="metacritic_counts" attribute="1" defaultMemberUniqueName="[public_response].[metacritic_counts].[All]" allUniqueName="[public_response].[metacritic_counts].[All]" dimensionUniqueName="[public_response]" displayFolder="" count="0" memberValueDatatype="20" unbalanced="0"/>
    <cacheHierarchy uniqueName="[public_response].[cinema_score]" caption="cinema_score" attribute="1" defaultMemberUniqueName="[public_response].[cinema_score].[All]" allUniqueName="[public_response].[cinema_score].[All]" dimensionUniqueName="[public_response]" displayFolder="" count="0" memberValueDatatype="130" unbalanced="0"/>
    <cacheHierarchy uniqueName="[public_response].[imdb_score]" caption="imdb_score" attribute="1" defaultMemberUniqueName="[public_response].[imdb_score].[All]" allUniqueName="[public_response].[imdb_score].[All]" dimensionUniqueName="[public_response]" displayFolder="" count="0" memberValueDatatype="5" unbalanced="0"/>
    <cacheHierarchy uniqueName="[public_response].[imdb_counts]" caption="imdb_counts" attribute="1" defaultMemberUniqueName="[public_response].[imdb_counts].[All]" allUniqueName="[public_response].[imdb_counts].[All]" dimensionUniqueName="[public_response]" displayFolder="" count="0" memberValueDatatype="20" unbalanced="0"/>
    <cacheHierarchy uniqueName="[Table_academy].[film]" caption="film" attribute="1" defaultMemberUniqueName="[Table_academy].[film].[All]" allUniqueName="[Table_academy].[film].[All]" dimensionUniqueName="[Table_academy]" displayFolder="" count="0" memberValueDatatype="130" unbalanced="0"/>
    <cacheHierarchy uniqueName="[Table_academy].[award_type]" caption="award_type" attribute="1" defaultMemberUniqueName="[Table_academy].[award_type].[All]" allUniqueName="[Table_academy].[award_type].[All]" dimensionUniqueName="[Table_academy]" displayFolder="" count="0" memberValueDatatype="130" unbalanced="0"/>
    <cacheHierarchy uniqueName="[Table_academy].[status]" caption="status" attribute="1" defaultMemberUniqueName="[Table_academy].[status].[All]" allUniqueName="[Table_academy].[status].[All]" dimensionUniqueName="[Table_academy]" displayFolder="" count="0" memberValueDatatype="130" unbalanced="0"/>
    <cacheHierarchy uniqueName="[Table_pixar_films].[number]" caption="number" attribute="1" defaultMemberUniqueName="[Table_pixar_films].[number].[All]" allUniqueName="[Table_pixar_films].[number].[All]" dimensionUniqueName="[Table_pixar_films]" displayFolder="" count="0" memberValueDatatype="20" unbalanced="0"/>
    <cacheHierarchy uniqueName="[Table_pixar_films].[film]" caption="film" attribute="1" defaultMemberUniqueName="[Table_pixar_films].[film].[All]" allUniqueName="[Table_pixar_films].[film].[All]" dimensionUniqueName="[Table_pixar_films]" displayFolder="" count="0" memberValueDatatype="130" unbalanced="0"/>
    <cacheHierarchy uniqueName="[Table_pixar_films].[release_date]" caption="release_date" attribute="1" time="1" defaultMemberUniqueName="[Table_pixar_films].[release_date].[All]" allUniqueName="[Table_pixar_films].[release_date].[All]" dimensionUniqueName="[Table_pixar_films]" displayFolder="" count="0" memberValueDatatype="7" unbalanced="0"/>
    <cacheHierarchy uniqueName="[Table_pixar_films].[run_time]" caption="run_time" attribute="1" defaultMemberUniqueName="[Table_pixar_films].[run_time].[All]" allUniqueName="[Table_pixar_films].[run_time].[All]" dimensionUniqueName="[Table_pixar_films]" displayFolder="" count="0" memberValueDatatype="20" unbalanced="0"/>
    <cacheHierarchy uniqueName="[Table_pixar_films].[film_rating]" caption="film_rating" attribute="1" defaultMemberUniqueName="[Table_pixar_films].[film_rating].[All]" allUniqueName="[Table_pixar_films].[film_rating].[All]" dimensionUniqueName="[Table_pixar_films]" displayFolder="" count="2" memberValueDatatype="130" unbalanced="0">
      <fieldsUsage count="2">
        <fieldUsage x="-1"/>
        <fieldUsage x="2"/>
      </fieldsUsage>
    </cacheHierarchy>
    <cacheHierarchy uniqueName="[Table_pixar_films].[plot]" caption="plot" attribute="1" defaultMemberUniqueName="[Table_pixar_films].[plot].[All]" allUniqueName="[Table_pixar_films].[plot].[All]" dimensionUniqueName="[Table_pixar_films]" displayFolder="" count="0" memberValueDatatype="130" unbalanced="0"/>
    <cacheHierarchy uniqueName="[Table_pixar_films].[release_date (Year)]" caption="release_date (Year)" attribute="1" defaultMemberUniqueName="[Table_pixar_films].[release_date (Year)].[All]" allUniqueName="[Table_pixar_films].[release_date (Year)].[All]" dimensionUniqueName="[Table_pixar_films]" displayFolder="" count="0" memberValueDatatype="130" unbalanced="0"/>
    <cacheHierarchy uniqueName="[Table_pixar_films].[Release Year]" caption="Release Year" attribute="1" defaultMemberUniqueName="[Table_pixar_films].[Release Year].[All]" allUniqueName="[Table_pixar_films].[Release Year].[All]" dimensionUniqueName="[Table_pixar_films]" displayFolder="" count="0" memberValueDatatype="20" unbalanced="0"/>
    <cacheHierarchy uniqueName="[Table_pixar_films].[release_date (Year)1]" caption="release_date (Year)1" attribute="1" defaultMemberUniqueName="[Table_pixar_films].[release_date (Year)1].[All]" allUniqueName="[Table_pixar_films].[release_date (Year)1].[All]" dimensionUniqueName="[Table_pixar_films]" displayFolder="" count="2" memberValueDatatype="130" unbalanced="0">
      <fieldsUsage count="2">
        <fieldUsage x="-1"/>
        <fieldUsage x="0"/>
      </fieldsUsage>
    </cacheHierarchy>
    <cacheHierarchy uniqueName="[Table_pixar_films].[release_date (Quarter)]" caption="release_date (Quarter)" attribute="1" defaultMemberUniqueName="[Table_pixar_films].[release_date (Quarter)].[All]" allUniqueName="[Table_pixar_films].[release_date (Quarter)].[All]" dimensionUniqueName="[Table_pixar_films]" displayFolder="" count="0" memberValueDatatype="130" unbalanced="0"/>
    <cacheHierarchy uniqueName="[Table_pixar_films].[release_date (Month)]" caption="release_date (Month)" attribute="1" defaultMemberUniqueName="[Table_pixar_films].[release_date (Month)].[All]" allUniqueName="[Table_pixar_films].[release_date (Month)].[All]" dimensionUniqueName="[Table_pixar_films]" displayFolder="" count="0" memberValueDatatype="130" unbalanced="0"/>
    <cacheHierarchy uniqueName="[Table_public_response].[film]" caption="film" attribute="1" defaultMemberUniqueName="[Table_public_response].[film].[All]" allUniqueName="[Table_public_response].[film].[All]" dimensionUniqueName="[Table_public_response]" displayFolder="" count="0" memberValueDatatype="130" unbalanced="0"/>
    <cacheHierarchy uniqueName="[Table_public_response].[rotten_tomatoes_score]" caption="rotten_tomatoes_score" attribute="1" defaultMemberUniqueName="[Table_public_response].[rotten_tomatoes_score].[All]" allUniqueName="[Table_public_response].[rotten_tomatoes_score].[All]" dimensionUniqueName="[Table_public_response]" displayFolder="" count="0" memberValueDatatype="20" unbalanced="0"/>
    <cacheHierarchy uniqueName="[Table_public_response].[rotten_tomatoes_counts]" caption="rotten_tomatoes_counts" attribute="1" defaultMemberUniqueName="[Table_public_response].[rotten_tomatoes_counts].[All]" allUniqueName="[Table_public_response].[rotten_tomatoes_counts].[All]" dimensionUniqueName="[Table_public_response]" displayFolder="" count="0" memberValueDatatype="20" unbalanced="0"/>
    <cacheHierarchy uniqueName="[Table_public_response].[metacritic_score]" caption="metacritic_score" attribute="1" defaultMemberUniqueName="[Table_public_response].[metacritic_score].[All]" allUniqueName="[Table_public_response].[metacritic_score].[All]" dimensionUniqueName="[Table_public_response]" displayFolder="" count="0" memberValueDatatype="20" unbalanced="0"/>
    <cacheHierarchy uniqueName="[Table_public_response].[metacritic_counts]" caption="metacritic_counts" attribute="1" defaultMemberUniqueName="[Table_public_response].[metacritic_counts].[All]" allUniqueName="[Table_public_response].[metacritic_counts].[All]" dimensionUniqueName="[Table_public_response]" displayFolder="" count="0" memberValueDatatype="20" unbalanced="0"/>
    <cacheHierarchy uniqueName="[Table_public_response].[cinema_score]" caption="cinema_score" attribute="1" defaultMemberUniqueName="[Table_public_response].[cinema_score].[All]" allUniqueName="[Table_public_response].[cinema_score].[All]" dimensionUniqueName="[Table_public_response]" displayFolder="" count="0" memberValueDatatype="130" unbalanced="0"/>
    <cacheHierarchy uniqueName="[Table_public_response].[imdb_score]" caption="imdb_score" attribute="1" defaultMemberUniqueName="[Table_public_response].[imdb_score].[All]" allUniqueName="[Table_public_response].[imdb_score].[All]" dimensionUniqueName="[Table_public_response]" displayFolder="" count="0" memberValueDatatype="5" unbalanced="0"/>
    <cacheHierarchy uniqueName="[Table_public_response].[imdb_counts]" caption="imdb_counts" attribute="1" defaultMemberUniqueName="[Table_public_response].[imdb_counts].[All]" allUniqueName="[Table_public_response].[imdb_counts].[All]" dimensionUniqueName="[Table_public_response]" displayFolder="" count="0" memberValueDatatype="20" unbalanced="0"/>
    <cacheHierarchy uniqueName="[pixar_films].[release_date (Month Index)]" caption="release_date (Month Index)" attribute="1" defaultMemberUniqueName="[pixar_films].[release_date (Month Index)].[All]" allUniqueName="[pixar_films].[release_date (Month Index)].[All]" dimensionUniqueName="[pixar_films]" displayFolder="" count="0" memberValueDatatype="20" unbalanced="0" hidden="1"/>
    <cacheHierarchy uniqueName="[Table_pixar_films].[release_date (Month Index)]" caption="release_date (Month Index)" attribute="1" defaultMemberUniqueName="[Table_pixar_films].[release_date (Month Index)].[All]" allUniqueName="[Table_pixar_films].[release_date (Month Index)].[All]" dimensionUniqueName="[Table_pixar_films]" displayFolder="" count="0" memberValueDatatype="20" unbalanced="0" hidden="1"/>
    <cacheHierarchy uniqueName="[Measures].[__XL_Count academy]" caption="__XL_Count academy" measure="1" displayFolder="" measureGroup="academy" count="0" hidden="1"/>
    <cacheHierarchy uniqueName="[Measures].[__XL_Count box_office]" caption="__XL_Count box_office" measure="1" displayFolder="" measureGroup="box_office" count="0" hidden="1"/>
    <cacheHierarchy uniqueName="[Measures].[__XL_Count genres]" caption="__XL_Count genres" measure="1" displayFolder="" measureGroup="genres" count="0" hidden="1"/>
    <cacheHierarchy uniqueName="[Measures].[__XL_Count pixar_films]" caption="__XL_Count pixar_films" measure="1" displayFolder="" measureGroup="pixar_films" count="0" hidden="1"/>
    <cacheHierarchy uniqueName="[Measures].[__XL_Count pixar_people]" caption="__XL_Count pixar_people" measure="1" displayFolder="" measureGroup="pixar_people" count="0" hidden="1"/>
    <cacheHierarchy uniqueName="[Measures].[__XL_Count public_response]" caption="__XL_Count public_response" measure="1" displayFolder="" measureGroup="public_response" count="0" hidden="1"/>
    <cacheHierarchy uniqueName="[Measures].[__XL_Count Table_academy]" caption="__XL_Count Table_academy" measure="1" displayFolder="" measureGroup="Table_academy" count="0" hidden="1"/>
    <cacheHierarchy uniqueName="[Measures].[__XL_Count Table_public_response]" caption="__XL_Count Table_public_response" measure="1" displayFolder="" measureGroup="Table_public_response" count="0" hidden="1"/>
    <cacheHierarchy uniqueName="[Measures].[__XL_Count Table_pixar_films]" caption="__XL_Count Table_pixar_films" measure="1" displayFolder="" measureGroup="Table_pixar_films" count="0" hidden="1"/>
    <cacheHierarchy uniqueName="[Measures].[__No measures defined]" caption="__No measures defined" measure="1" displayFolder="" count="0" hidden="1"/>
    <cacheHierarchy uniqueName="[Measures].[Count of budget]" caption="Count of budget" measure="1" displayFolder="" measureGroup="box_office" count="0" hidden="1">
      <extLst>
        <ext xmlns:x15="http://schemas.microsoft.com/office/spreadsheetml/2010/11/main" uri="{B97F6D7D-B522-45F9-BDA1-12C45D357490}">
          <x15:cacheHierarchy aggregatedColumn="4"/>
        </ext>
      </extLst>
    </cacheHierarchy>
    <cacheHierarchy uniqueName="[Measures].[Sum of box_office_worldwide]" caption="Sum of box_office_worldwide" measure="1" displayFolder="" measureGroup="box_office" count="0" hidden="1">
      <extLst>
        <ext xmlns:x15="http://schemas.microsoft.com/office/spreadsheetml/2010/11/main" uri="{B97F6D7D-B522-45F9-BDA1-12C45D357490}">
          <x15:cacheHierarchy aggregatedColumn="7"/>
        </ext>
      </extLst>
    </cacheHierarchy>
    <cacheHierarchy uniqueName="[Measures].[Sum of budget]" caption="Sum of budget" measure="1" displayFolder="" measureGroup="box_office" count="0" hidden="1">
      <extLst>
        <ext xmlns:x15="http://schemas.microsoft.com/office/spreadsheetml/2010/11/main" uri="{B97F6D7D-B522-45F9-BDA1-12C45D357490}">
          <x15:cacheHierarchy aggregatedColumn="4"/>
        </ext>
      </extLst>
    </cacheHierarchy>
    <cacheHierarchy uniqueName="[Measures].[Count of status]" caption="Count of status" measure="1" displayFolder="" measureGroup="academy" count="0" hidden="1">
      <extLst>
        <ext xmlns:x15="http://schemas.microsoft.com/office/spreadsheetml/2010/11/main" uri="{B97F6D7D-B522-45F9-BDA1-12C45D357490}">
          <x15:cacheHierarchy aggregatedColumn="2"/>
        </ext>
      </extLst>
    </cacheHierarchy>
    <cacheHierarchy uniqueName="[Measures].[Sum of imdb_counts]" caption="Sum of imdb_counts" measure="1" displayFolder="" measureGroup="public_response" count="0" hidden="1">
      <extLst>
        <ext xmlns:x15="http://schemas.microsoft.com/office/spreadsheetml/2010/11/main" uri="{B97F6D7D-B522-45F9-BDA1-12C45D357490}">
          <x15:cacheHierarchy aggregatedColumn="30"/>
        </ext>
      </extLst>
    </cacheHierarchy>
    <cacheHierarchy uniqueName="[Measures].[Count of cinema_score]" caption="Count of cinema_score" measure="1" displayFolder="" measureGroup="public_response" count="0" hidden="1">
      <extLst>
        <ext xmlns:x15="http://schemas.microsoft.com/office/spreadsheetml/2010/11/main" uri="{B97F6D7D-B522-45F9-BDA1-12C45D357490}">
          <x15:cacheHierarchy aggregatedColumn="28"/>
        </ext>
      </extLst>
    </cacheHierarchy>
    <cacheHierarchy uniqueName="[Measures].[Sum of rotten_tomatoes_score]" caption="Sum of rotten_tomatoes_score" measure="1" displayFolder="" measureGroup="public_response" count="0" hidden="1">
      <extLst>
        <ext xmlns:x15="http://schemas.microsoft.com/office/spreadsheetml/2010/11/main" uri="{B97F6D7D-B522-45F9-BDA1-12C45D357490}">
          <x15:cacheHierarchy aggregatedColumn="24"/>
        </ext>
      </extLst>
    </cacheHierarchy>
    <cacheHierarchy uniqueName="[Measures].[Count of rotten_tomatoes_score]" caption="Count of rotten_tomatoes_score" measure="1" displayFolder="" measureGroup="public_response" count="0" hidden="1">
      <extLst>
        <ext xmlns:x15="http://schemas.microsoft.com/office/spreadsheetml/2010/11/main" uri="{B97F6D7D-B522-45F9-BDA1-12C45D357490}">
          <x15:cacheHierarchy aggregatedColumn="24"/>
        </ext>
      </extLst>
    </cacheHierarchy>
    <cacheHierarchy uniqueName="[Measures].[Average of rotten_tomatoes_score]" caption="Average of rotten_tomatoes_score" measure="1" displayFolder="" measureGroup="public_response" count="0" hidden="1">
      <extLst>
        <ext xmlns:x15="http://schemas.microsoft.com/office/spreadsheetml/2010/11/main" uri="{B97F6D7D-B522-45F9-BDA1-12C45D357490}">
          <x15:cacheHierarchy aggregatedColumn="24"/>
        </ext>
      </extLst>
    </cacheHierarchy>
    <cacheHierarchy uniqueName="[Measures].[Count of status 2]" caption="Count of status 2" measure="1" displayFolder="" measureGroup="Table_academy" count="0" hidden="1">
      <extLst>
        <ext xmlns:x15="http://schemas.microsoft.com/office/spreadsheetml/2010/11/main" uri="{B97F6D7D-B522-45F9-BDA1-12C45D357490}">
          <x15:cacheHierarchy aggregatedColumn="33"/>
        </ext>
      </extLst>
    </cacheHierarchy>
    <cacheHierarchy uniqueName="[Measures].[Sum of rotten_tomatoes_score 2]" caption="Sum of rotten_tomatoes_score 2" measure="1" displayFolder="" measureGroup="Table_public_response" count="0" hidden="1">
      <extLst>
        <ext xmlns:x15="http://schemas.microsoft.com/office/spreadsheetml/2010/11/main" uri="{B97F6D7D-B522-45F9-BDA1-12C45D357490}">
          <x15:cacheHierarchy aggregatedColumn="46"/>
        </ext>
      </extLst>
    </cacheHierarchy>
    <cacheHierarchy uniqueName="[Measures].[Count of film_rating]" caption="Count of film_rating" measure="1" displayFolder="" measureGroup="pixar_films" count="0" hidden="1">
      <extLst>
        <ext xmlns:x15="http://schemas.microsoft.com/office/spreadsheetml/2010/11/main" uri="{B97F6D7D-B522-45F9-BDA1-12C45D357490}">
          <x15:cacheHierarchy aggregatedColumn="15"/>
        </ext>
      </extLst>
    </cacheHierarchy>
    <cacheHierarchy uniqueName="[Measures].[Count of value]" caption="Count of value" measure="1" displayFolder="" measureGroup="genres" count="0" hidden="1">
      <extLst>
        <ext xmlns:x15="http://schemas.microsoft.com/office/spreadsheetml/2010/11/main" uri="{B97F6D7D-B522-45F9-BDA1-12C45D357490}">
          <x15:cacheHierarchy aggregatedColumn="10"/>
        </ext>
      </extLst>
    </cacheHierarchy>
    <cacheHierarchy uniqueName="[Measures].[Count of film]" caption="Count of film" measure="1" displayFolder="" measureGroup="pixar_films" count="0" hidden="1">
      <extLst>
        <ext xmlns:x15="http://schemas.microsoft.com/office/spreadsheetml/2010/11/main" uri="{B97F6D7D-B522-45F9-BDA1-12C45D357490}">
          <x15:cacheHierarchy aggregatedColumn="12"/>
        </ext>
      </extLst>
    </cacheHierarchy>
    <cacheHierarchy uniqueName="[Measures].[Count of film 2]" caption="Count of film 2" measure="1" displayFolder="" measureGroup="genres" count="0" hidden="1">
      <extLst>
        <ext xmlns:x15="http://schemas.microsoft.com/office/spreadsheetml/2010/11/main" uri="{B97F6D7D-B522-45F9-BDA1-12C45D357490}">
          <x15:cacheHierarchy aggregatedColumn="8"/>
        </ext>
      </extLst>
    </cacheHierarchy>
    <cacheHierarchy uniqueName="[Measures].[Sum of Release Year]" caption="Sum of Release Year" measure="1" displayFolder="" measureGroup="Table_pixar_films" count="0" hidden="1">
      <extLst>
        <ext xmlns:x15="http://schemas.microsoft.com/office/spreadsheetml/2010/11/main" uri="{B97F6D7D-B522-45F9-BDA1-12C45D357490}">
          <x15:cacheHierarchy aggregatedColumn="41"/>
        </ext>
      </extLst>
    </cacheHierarchy>
    <cacheHierarchy uniqueName="[Measures].[Distinct Count of status]" caption="Distinct Count of status" measure="1" displayFolder="" measureGroup="academy" count="0" hidden="1">
      <extLst>
        <ext xmlns:x15="http://schemas.microsoft.com/office/spreadsheetml/2010/11/main" uri="{B97F6D7D-B522-45F9-BDA1-12C45D357490}">
          <x15:cacheHierarchy aggregatedColumn="2"/>
        </ext>
      </extLst>
    </cacheHierarchy>
    <cacheHierarchy uniqueName="[Measures].[Count of film_rating 2]" caption="Count of film_rating 2" measure="1" displayFolder="" measureGroup="Table_pixar_films" count="0" oneField="1" hidden="1">
      <fieldsUsage count="1">
        <fieldUsage x="1"/>
      </fieldsUsage>
      <extLst>
        <ext xmlns:x15="http://schemas.microsoft.com/office/spreadsheetml/2010/11/main" uri="{B97F6D7D-B522-45F9-BDA1-12C45D357490}">
          <x15:cacheHierarchy aggregatedColumn="38"/>
        </ext>
      </extLst>
    </cacheHierarchy>
  </cacheHierarchies>
  <kpis count="0"/>
  <dimensions count="10">
    <dimension name="academy" uniqueName="[academy]" caption="academy"/>
    <dimension name="box_office" uniqueName="[box_office]" caption="box_office"/>
    <dimension name="genres" uniqueName="[genres]" caption="genres"/>
    <dimension measure="1" name="Measures" uniqueName="[Measures]" caption="Measures"/>
    <dimension name="pixar_films" uniqueName="[pixar_films]" caption="pixar_films"/>
    <dimension name="pixar_people" uniqueName="[pixar_people]" caption="pixar_people"/>
    <dimension name="public_response" uniqueName="[public_response]" caption="public_response"/>
    <dimension name="Table_academy" uniqueName="[Table_academy]" caption="Table_academy"/>
    <dimension name="Table_pixar_films" uniqueName="[Table_pixar_films]" caption="Table_pixar_films"/>
    <dimension name="Table_public_response" uniqueName="[Table_public_response]" caption="Table_public_response"/>
  </dimensions>
  <measureGroups count="9">
    <measureGroup name="academy" caption="academy"/>
    <measureGroup name="box_office" caption="box_office"/>
    <measureGroup name="genres" caption="genres"/>
    <measureGroup name="pixar_films" caption="pixar_films"/>
    <measureGroup name="pixar_people" caption="pixar_people"/>
    <measureGroup name="public_response" caption="public_response"/>
    <measureGroup name="Table_academy" caption="Table_academy"/>
    <measureGroup name="Table_pixar_films" caption="Table_pixar_films"/>
    <measureGroup name="Table_public_response" caption="Table_public_response"/>
  </measureGroups>
  <maps count="18">
    <map measureGroup="0" dimension="0"/>
    <map measureGroup="0" dimension="1"/>
    <map measureGroup="0" dimension="4"/>
    <map measureGroup="0" dimension="6"/>
    <map measureGroup="0" dimension="9"/>
    <map measureGroup="1" dimension="1"/>
    <map measureGroup="1" dimension="4"/>
    <map measureGroup="2" dimension="2"/>
    <map measureGroup="2" dimension="4"/>
    <map measureGroup="3" dimension="4"/>
    <map measureGroup="4" dimension="5"/>
    <map measureGroup="5" dimension="1"/>
    <map measureGroup="5" dimension="4"/>
    <map measureGroup="5" dimension="6"/>
    <map measureGroup="6" dimension="7"/>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820" refreshedDate="46270.402717476849" backgroundQuery="1" createdVersion="7" refreshedVersion="7" minRefreshableVersion="3" recordCount="0" supportSubquery="1" supportAdvancedDrill="1" xr:uid="{02A17D57-7240-4F51-B972-601FC7D3D180}">
  <cacheSource type="external" connectionId="13"/>
  <cacheFields count="5">
    <cacheField name="[pixar_films].[release_date (Year)].[release_date (Year)]" caption="release_date (Year)" numFmtId="0" hierarchy="17" level="1">
      <sharedItems count="24">
        <s v="1995"/>
        <s v="1998"/>
        <s v="1999"/>
        <s v="2001"/>
        <s v="2003"/>
        <s v="2004"/>
        <s v="2006"/>
        <s v="2007"/>
        <s v="2008"/>
        <s v="2009"/>
        <s v="2010"/>
        <s v="2011"/>
        <s v="2012"/>
        <s v="2013"/>
        <s v="2015"/>
        <s v="2016"/>
        <s v="2017"/>
        <s v="2018"/>
        <s v="2019"/>
        <s v="2020"/>
        <s v="2021"/>
        <s v="2022"/>
        <s v="2023"/>
        <s v="2024"/>
      </sharedItems>
    </cacheField>
    <cacheField name="[genres].[category].[category]" caption="category" numFmtId="0" hierarchy="9" level="1">
      <sharedItems count="1">
        <s v="Genre"/>
      </sharedItems>
    </cacheField>
    <cacheField name="[Measures].[Count of value]" caption="Count of value" numFmtId="0" hierarchy="77" level="32767"/>
    <cacheField name="[genres].[value].[value]" caption="value" numFmtId="0" hierarchy="10" level="1">
      <sharedItems count="6">
        <s v="Action"/>
        <s v="Adventure"/>
        <s v="Animation"/>
        <s v="Comedy"/>
        <s v="Drama"/>
        <s v="Family"/>
      </sharedItems>
    </cacheField>
    <cacheField name="[pixar_films].[film_rating].[film_rating]" caption="film_rating" numFmtId="0" hierarchy="15" level="1">
      <sharedItems count="2">
        <s v="G"/>
        <s v="PG"/>
      </sharedItems>
    </cacheField>
  </cacheFields>
  <cacheHierarchies count="83">
    <cacheHierarchy uniqueName="[academy].[film]" caption="film" attribute="1" defaultMemberUniqueName="[academy].[film].[All]" allUniqueName="[academy].[film].[All]" dimensionUniqueName="[academy]" displayFolder="" count="0" memberValueDatatype="130" unbalanced="0"/>
    <cacheHierarchy uniqueName="[academy].[award_type]" caption="award_type" attribute="1" defaultMemberUniqueName="[academy].[award_type].[All]" allUniqueName="[academy].[award_type].[All]" dimensionUniqueName="[academy]" displayFolder="" count="0" memberValueDatatype="130" unbalanced="0"/>
    <cacheHierarchy uniqueName="[academy].[status]" caption="status" attribute="1" defaultMemberUniqueName="[academy].[status].[All]" allUniqueName="[academy].[status].[All]" dimensionUniqueName="[academy]" displayFolder="" count="0" memberValueDatatype="130" unbalanced="0"/>
    <cacheHierarchy uniqueName="[box_office].[film]" caption="film" attribute="1" defaultMemberUniqueName="[box_office].[film].[All]" allUniqueName="[box_office].[film].[All]" dimensionUniqueName="[box_office]" displayFolder="" count="0" memberValueDatatype="130" unbalanced="0"/>
    <cacheHierarchy uniqueName="[box_office].[budget]" caption="budget" attribute="1" defaultMemberUniqueName="[box_office].[budget].[All]" allUniqueName="[box_office].[budget].[All]" dimensionUniqueName="[box_office]" displayFolder="" count="0" memberValueDatatype="6" unbalanced="0"/>
    <cacheHierarchy uniqueName="[box_office].[box_office_us_canada]" caption="box_office_us_canada" attribute="1" defaultMemberUniqueName="[box_office].[box_office_us_canada].[All]" allUniqueName="[box_office].[box_office_us_canada].[All]" dimensionUniqueName="[box_office]" displayFolder="" count="0" memberValueDatatype="20" unbalanced="0"/>
    <cacheHierarchy uniqueName="[box_office].[box_office_other]" caption="box_office_other" attribute="1" defaultMemberUniqueName="[box_office].[box_office_other].[All]" allUniqueName="[box_office].[box_office_other].[All]" dimensionUniqueName="[box_office]" displayFolder="" count="0" memberValueDatatype="20" unbalanced="0"/>
    <cacheHierarchy uniqueName="[box_office].[box_office_worldwide]" caption="box_office_worldwide" attribute="1" defaultMemberUniqueName="[box_office].[box_office_worldwide].[All]" allUniqueName="[box_office].[box_office_worldwide].[All]" dimensionUniqueName="[box_office]" displayFolder="" count="0" memberValueDatatype="20" unbalanced="0"/>
    <cacheHierarchy uniqueName="[genres].[film]" caption="film" attribute="1" defaultMemberUniqueName="[genres].[film].[All]" allUniqueName="[genres].[film].[All]" dimensionUniqueName="[genres]" displayFolder="" count="0" memberValueDatatype="130" unbalanced="0"/>
    <cacheHierarchy uniqueName="[genres].[category]" caption="category" attribute="1" defaultMemberUniqueName="[genres].[category].[All]" allUniqueName="[genres].[category].[All]" dimensionUniqueName="[genres]" displayFolder="" count="2" memberValueDatatype="130" unbalanced="0">
      <fieldsUsage count="2">
        <fieldUsage x="-1"/>
        <fieldUsage x="1"/>
      </fieldsUsage>
    </cacheHierarchy>
    <cacheHierarchy uniqueName="[genres].[value]" caption="value" attribute="1" defaultMemberUniqueName="[genres].[value].[All]" allUniqueName="[genres].[value].[All]" dimensionUniqueName="[genres]" displayFolder="" count="2" memberValueDatatype="130" unbalanced="0">
      <fieldsUsage count="2">
        <fieldUsage x="-1"/>
        <fieldUsage x="3"/>
      </fieldsUsage>
    </cacheHierarchy>
    <cacheHierarchy uniqueName="[pixar_films].[number]" caption="number" attribute="1" defaultMemberUniqueName="[pixar_films].[number].[All]" allUniqueName="[pixar_films].[number].[All]" dimensionUniqueName="[pixar_films]" displayFolder="" count="0" memberValueDatatype="20" unbalanced="0"/>
    <cacheHierarchy uniqueName="[pixar_films].[film]" caption="film" attribute="1" defaultMemberUniqueName="[pixar_films].[film].[All]" allUniqueName="[pixar_films].[film].[All]" dimensionUniqueName="[pixar_films]" displayFolder="" count="0" memberValueDatatype="130" unbalanced="0"/>
    <cacheHierarchy uniqueName="[pixar_films].[release_date]" caption="release_date" attribute="1" time="1" defaultMemberUniqueName="[pixar_films].[release_date].[All]" allUniqueName="[pixar_films].[release_date].[All]" dimensionUniqueName="[pixar_films]" displayFolder="" count="0" memberValueDatatype="7" unbalanced="0"/>
    <cacheHierarchy uniqueName="[pixar_films].[run_time]" caption="run_time" attribute="1" defaultMemberUniqueName="[pixar_films].[run_time].[All]" allUniqueName="[pixar_films].[run_time].[All]" dimensionUniqueName="[pixar_films]" displayFolder="" count="0" memberValueDatatype="20" unbalanced="0"/>
    <cacheHierarchy uniqueName="[pixar_films].[film_rating]" caption="film_rating" attribute="1" defaultMemberUniqueName="[pixar_films].[film_rating].[All]" allUniqueName="[pixar_films].[film_rating].[All]" dimensionUniqueName="[pixar_films]" displayFolder="" count="2" memberValueDatatype="130" unbalanced="0">
      <fieldsUsage count="2">
        <fieldUsage x="-1"/>
        <fieldUsage x="4"/>
      </fieldsUsage>
    </cacheHierarchy>
    <cacheHierarchy uniqueName="[pixar_films].[plot]" caption="plot" attribute="1" defaultMemberUniqueName="[pixar_films].[plot].[All]" allUniqueName="[pixar_films].[plot].[All]" dimensionUniqueName="[pixar_films]" displayFolder="" count="0" memberValueDatatype="130" unbalanced="0"/>
    <cacheHierarchy uniqueName="[pixar_films].[release_date (Year)]" caption="release_date (Year)" attribute="1" defaultMemberUniqueName="[pixar_films].[release_date (Year)].[All]" allUniqueName="[pixar_films].[release_date (Year)].[All]" dimensionUniqueName="[pixar_films]" displayFolder="" count="2" memberValueDatatype="130" unbalanced="0">
      <fieldsUsage count="2">
        <fieldUsage x="-1"/>
        <fieldUsage x="0"/>
      </fieldsUsage>
    </cacheHierarchy>
    <cacheHierarchy uniqueName="[pixar_films].[release_date (Quarter)]" caption="release_date (Quarter)" attribute="1" defaultMemberUniqueName="[pixar_films].[release_date (Quarter)].[All]" allUniqueName="[pixar_films].[release_date (Quarter)].[All]" dimensionUniqueName="[pixar_films]" displayFolder="" count="0" memberValueDatatype="130" unbalanced="0"/>
    <cacheHierarchy uniqueName="[pixar_films].[release_date (Month)]" caption="release_date (Month)" attribute="1" defaultMemberUniqueName="[pixar_films].[release_date (Month)].[All]" allUniqueName="[pixar_films].[release_date (Month)].[All]" dimensionUniqueName="[pixar_films]" displayFolder="" count="0" memberValueDatatype="130" unbalanced="0"/>
    <cacheHierarchy uniqueName="[pixar_people].[film]" caption="film" attribute="1" defaultMemberUniqueName="[pixar_people].[film].[All]" allUniqueName="[pixar_people].[film].[All]" dimensionUniqueName="[pixar_people]" displayFolder="" count="0" memberValueDatatype="130" unbalanced="0"/>
    <cacheHierarchy uniqueName="[pixar_people].[role_type]" caption="role_type" attribute="1" defaultMemberUniqueName="[pixar_people].[role_type].[All]" allUniqueName="[pixar_people].[role_type].[All]" dimensionUniqueName="[pixar_people]" displayFolder="" count="0" memberValueDatatype="130" unbalanced="0"/>
    <cacheHierarchy uniqueName="[pixar_people].[name]" caption="name" attribute="1" defaultMemberUniqueName="[pixar_people].[name].[All]" allUniqueName="[pixar_people].[name].[All]" dimensionUniqueName="[pixar_people]" displayFolder="" count="0" memberValueDatatype="130" unbalanced="0"/>
    <cacheHierarchy uniqueName="[public_response].[film]" caption="film" attribute="1" defaultMemberUniqueName="[public_response].[film].[All]" allUniqueName="[public_response].[film].[All]" dimensionUniqueName="[public_response]" displayFolder="" count="0" memberValueDatatype="130" unbalanced="0"/>
    <cacheHierarchy uniqueName="[public_response].[rotten_tomatoes_score]" caption="rotten_tomatoes_score" attribute="1" defaultMemberUniqueName="[public_response].[rotten_tomatoes_score].[All]" allUniqueName="[public_response].[rotten_tomatoes_score].[All]" dimensionUniqueName="[public_response]" displayFolder="" count="0" memberValueDatatype="20" unbalanced="0"/>
    <cacheHierarchy uniqueName="[public_response].[rotten_tomatoes_counts]" caption="rotten_tomatoes_counts" attribute="1" defaultMemberUniqueName="[public_response].[rotten_tomatoes_counts].[All]" allUniqueName="[public_response].[rotten_tomatoes_counts].[All]" dimensionUniqueName="[public_response]" displayFolder="" count="0" memberValueDatatype="20" unbalanced="0"/>
    <cacheHierarchy uniqueName="[public_response].[metacritic_score]" caption="metacritic_score" attribute="1" defaultMemberUniqueName="[public_response].[metacritic_score].[All]" allUniqueName="[public_response].[metacritic_score].[All]" dimensionUniqueName="[public_response]" displayFolder="" count="0" memberValueDatatype="20" unbalanced="0"/>
    <cacheHierarchy uniqueName="[public_response].[metacritic_counts]" caption="metacritic_counts" attribute="1" defaultMemberUniqueName="[public_response].[metacritic_counts].[All]" allUniqueName="[public_response].[metacritic_counts].[All]" dimensionUniqueName="[public_response]" displayFolder="" count="0" memberValueDatatype="20" unbalanced="0"/>
    <cacheHierarchy uniqueName="[public_response].[cinema_score]" caption="cinema_score" attribute="1" defaultMemberUniqueName="[public_response].[cinema_score].[All]" allUniqueName="[public_response].[cinema_score].[All]" dimensionUniqueName="[public_response]" displayFolder="" count="0" memberValueDatatype="130" unbalanced="0"/>
    <cacheHierarchy uniqueName="[public_response].[imdb_score]" caption="imdb_score" attribute="1" defaultMemberUniqueName="[public_response].[imdb_score].[All]" allUniqueName="[public_response].[imdb_score].[All]" dimensionUniqueName="[public_response]" displayFolder="" count="0" memberValueDatatype="5" unbalanced="0"/>
    <cacheHierarchy uniqueName="[public_response].[imdb_counts]" caption="imdb_counts" attribute="1" defaultMemberUniqueName="[public_response].[imdb_counts].[All]" allUniqueName="[public_response].[imdb_counts].[All]" dimensionUniqueName="[public_response]" displayFolder="" count="0" memberValueDatatype="20" unbalanced="0"/>
    <cacheHierarchy uniqueName="[Table_academy].[film]" caption="film" attribute="1" defaultMemberUniqueName="[Table_academy].[film].[All]" allUniqueName="[Table_academy].[film].[All]" dimensionUniqueName="[Table_academy]" displayFolder="" count="0" memberValueDatatype="130" unbalanced="0"/>
    <cacheHierarchy uniqueName="[Table_academy].[award_type]" caption="award_type" attribute="1" defaultMemberUniqueName="[Table_academy].[award_type].[All]" allUniqueName="[Table_academy].[award_type].[All]" dimensionUniqueName="[Table_academy]" displayFolder="" count="0" memberValueDatatype="130" unbalanced="0"/>
    <cacheHierarchy uniqueName="[Table_academy].[status]" caption="status" attribute="1" defaultMemberUniqueName="[Table_academy].[status].[All]" allUniqueName="[Table_academy].[status].[All]" dimensionUniqueName="[Table_academy]" displayFolder="" count="0" memberValueDatatype="130" unbalanced="0"/>
    <cacheHierarchy uniqueName="[Table_pixar_films].[number]" caption="number" attribute="1" defaultMemberUniqueName="[Table_pixar_films].[number].[All]" allUniqueName="[Table_pixar_films].[number].[All]" dimensionUniqueName="[Table_pixar_films]" displayFolder="" count="0" memberValueDatatype="20" unbalanced="0"/>
    <cacheHierarchy uniqueName="[Table_pixar_films].[film]" caption="film" attribute="1" defaultMemberUniqueName="[Table_pixar_films].[film].[All]" allUniqueName="[Table_pixar_films].[film].[All]" dimensionUniqueName="[Table_pixar_films]" displayFolder="" count="0" memberValueDatatype="130" unbalanced="0"/>
    <cacheHierarchy uniqueName="[Table_pixar_films].[release_date]" caption="release_date" attribute="1" time="1" defaultMemberUniqueName="[Table_pixar_films].[release_date].[All]" allUniqueName="[Table_pixar_films].[release_date].[All]" dimensionUniqueName="[Table_pixar_films]" displayFolder="" count="0" memberValueDatatype="7" unbalanced="0"/>
    <cacheHierarchy uniqueName="[Table_pixar_films].[run_time]" caption="run_time" attribute="1" defaultMemberUniqueName="[Table_pixar_films].[run_time].[All]" allUniqueName="[Table_pixar_films].[run_time].[All]" dimensionUniqueName="[Table_pixar_films]" displayFolder="" count="0" memberValueDatatype="20" unbalanced="0"/>
    <cacheHierarchy uniqueName="[Table_pixar_films].[film_rating]" caption="film_rating" attribute="1" defaultMemberUniqueName="[Table_pixar_films].[film_rating].[All]" allUniqueName="[Table_pixar_films].[film_rating].[All]" dimensionUniqueName="[Table_pixar_films]" displayFolder="" count="0" memberValueDatatype="130" unbalanced="0"/>
    <cacheHierarchy uniqueName="[Table_pixar_films].[plot]" caption="plot" attribute="1" defaultMemberUniqueName="[Table_pixar_films].[plot].[All]" allUniqueName="[Table_pixar_films].[plot].[All]" dimensionUniqueName="[Table_pixar_films]" displayFolder="" count="0" memberValueDatatype="130" unbalanced="0"/>
    <cacheHierarchy uniqueName="[Table_pixar_films].[release_date (Year)]" caption="release_date (Year)" attribute="1" defaultMemberUniqueName="[Table_pixar_films].[release_date (Year)].[All]" allUniqueName="[Table_pixar_films].[release_date (Year)].[All]" dimensionUniqueName="[Table_pixar_films]" displayFolder="" count="0" memberValueDatatype="130" unbalanced="0"/>
    <cacheHierarchy uniqueName="[Table_pixar_films].[Release Year]" caption="Release Year" attribute="1" defaultMemberUniqueName="[Table_pixar_films].[Release Year].[All]" allUniqueName="[Table_pixar_films].[Release Year].[All]" dimensionUniqueName="[Table_pixar_films]" displayFolder="" count="0" memberValueDatatype="20" unbalanced="0"/>
    <cacheHierarchy uniqueName="[Table_pixar_films].[release_date (Year)1]" caption="release_date (Year)1" attribute="1" defaultMemberUniqueName="[Table_pixar_films].[release_date (Year)1].[All]" allUniqueName="[Table_pixar_films].[release_date (Year)1].[All]" dimensionUniqueName="[Table_pixar_films]" displayFolder="" count="0" memberValueDatatype="130" unbalanced="0"/>
    <cacheHierarchy uniqueName="[Table_pixar_films].[release_date (Quarter)]" caption="release_date (Quarter)" attribute="1" defaultMemberUniqueName="[Table_pixar_films].[release_date (Quarter)].[All]" allUniqueName="[Table_pixar_films].[release_date (Quarter)].[All]" dimensionUniqueName="[Table_pixar_films]" displayFolder="" count="0" memberValueDatatype="130" unbalanced="0"/>
    <cacheHierarchy uniqueName="[Table_pixar_films].[release_date (Month)]" caption="release_date (Month)" attribute="1" defaultMemberUniqueName="[Table_pixar_films].[release_date (Month)].[All]" allUniqueName="[Table_pixar_films].[release_date (Month)].[All]" dimensionUniqueName="[Table_pixar_films]" displayFolder="" count="0" memberValueDatatype="130" unbalanced="0"/>
    <cacheHierarchy uniqueName="[Table_public_response].[film]" caption="film" attribute="1" defaultMemberUniqueName="[Table_public_response].[film].[All]" allUniqueName="[Table_public_response].[film].[All]" dimensionUniqueName="[Table_public_response]" displayFolder="" count="0" memberValueDatatype="130" unbalanced="0"/>
    <cacheHierarchy uniqueName="[Table_public_response].[rotten_tomatoes_score]" caption="rotten_tomatoes_score" attribute="1" defaultMemberUniqueName="[Table_public_response].[rotten_tomatoes_score].[All]" allUniqueName="[Table_public_response].[rotten_tomatoes_score].[All]" dimensionUniqueName="[Table_public_response]" displayFolder="" count="0" memberValueDatatype="20" unbalanced="0"/>
    <cacheHierarchy uniqueName="[Table_public_response].[rotten_tomatoes_counts]" caption="rotten_tomatoes_counts" attribute="1" defaultMemberUniqueName="[Table_public_response].[rotten_tomatoes_counts].[All]" allUniqueName="[Table_public_response].[rotten_tomatoes_counts].[All]" dimensionUniqueName="[Table_public_response]" displayFolder="" count="0" memberValueDatatype="20" unbalanced="0"/>
    <cacheHierarchy uniqueName="[Table_public_response].[metacritic_score]" caption="metacritic_score" attribute="1" defaultMemberUniqueName="[Table_public_response].[metacritic_score].[All]" allUniqueName="[Table_public_response].[metacritic_score].[All]" dimensionUniqueName="[Table_public_response]" displayFolder="" count="0" memberValueDatatype="20" unbalanced="0"/>
    <cacheHierarchy uniqueName="[Table_public_response].[metacritic_counts]" caption="metacritic_counts" attribute="1" defaultMemberUniqueName="[Table_public_response].[metacritic_counts].[All]" allUniqueName="[Table_public_response].[metacritic_counts].[All]" dimensionUniqueName="[Table_public_response]" displayFolder="" count="0" memberValueDatatype="20" unbalanced="0"/>
    <cacheHierarchy uniqueName="[Table_public_response].[cinema_score]" caption="cinema_score" attribute="1" defaultMemberUniqueName="[Table_public_response].[cinema_score].[All]" allUniqueName="[Table_public_response].[cinema_score].[All]" dimensionUniqueName="[Table_public_response]" displayFolder="" count="0" memberValueDatatype="130" unbalanced="0"/>
    <cacheHierarchy uniqueName="[Table_public_response].[imdb_score]" caption="imdb_score" attribute="1" defaultMemberUniqueName="[Table_public_response].[imdb_score].[All]" allUniqueName="[Table_public_response].[imdb_score].[All]" dimensionUniqueName="[Table_public_response]" displayFolder="" count="0" memberValueDatatype="5" unbalanced="0"/>
    <cacheHierarchy uniqueName="[Table_public_response].[imdb_counts]" caption="imdb_counts" attribute="1" defaultMemberUniqueName="[Table_public_response].[imdb_counts].[All]" allUniqueName="[Table_public_response].[imdb_counts].[All]" dimensionUniqueName="[Table_public_response]" displayFolder="" count="0" memberValueDatatype="20" unbalanced="0"/>
    <cacheHierarchy uniqueName="[pixar_films].[release_date (Month Index)]" caption="release_date (Month Index)" attribute="1" defaultMemberUniqueName="[pixar_films].[release_date (Month Index)].[All]" allUniqueName="[pixar_films].[release_date (Month Index)].[All]" dimensionUniqueName="[pixar_films]" displayFolder="" count="0" memberValueDatatype="20" unbalanced="0" hidden="1"/>
    <cacheHierarchy uniqueName="[Table_pixar_films].[release_date (Month Index)]" caption="release_date (Month Index)" attribute="1" defaultMemberUniqueName="[Table_pixar_films].[release_date (Month Index)].[All]" allUniqueName="[Table_pixar_films].[release_date (Month Index)].[All]" dimensionUniqueName="[Table_pixar_films]" displayFolder="" count="0" memberValueDatatype="20" unbalanced="0" hidden="1"/>
    <cacheHierarchy uniqueName="[Measures].[__XL_Count academy]" caption="__XL_Count academy" measure="1" displayFolder="" measureGroup="academy" count="0" hidden="1"/>
    <cacheHierarchy uniqueName="[Measures].[__XL_Count box_office]" caption="__XL_Count box_office" measure="1" displayFolder="" measureGroup="box_office" count="0" hidden="1"/>
    <cacheHierarchy uniqueName="[Measures].[__XL_Count genres]" caption="__XL_Count genres" measure="1" displayFolder="" measureGroup="genres" count="0" hidden="1"/>
    <cacheHierarchy uniqueName="[Measures].[__XL_Count pixar_films]" caption="__XL_Count pixar_films" measure="1" displayFolder="" measureGroup="pixar_films" count="0" hidden="1"/>
    <cacheHierarchy uniqueName="[Measures].[__XL_Count pixar_people]" caption="__XL_Count pixar_people" measure="1" displayFolder="" measureGroup="pixar_people" count="0" hidden="1"/>
    <cacheHierarchy uniqueName="[Measures].[__XL_Count public_response]" caption="__XL_Count public_response" measure="1" displayFolder="" measureGroup="public_response" count="0" hidden="1"/>
    <cacheHierarchy uniqueName="[Measures].[__XL_Count Table_academy]" caption="__XL_Count Table_academy" measure="1" displayFolder="" measureGroup="Table_academy" count="0" hidden="1"/>
    <cacheHierarchy uniqueName="[Measures].[__XL_Count Table_public_response]" caption="__XL_Count Table_public_response" measure="1" displayFolder="" measureGroup="Table_public_response" count="0" hidden="1"/>
    <cacheHierarchy uniqueName="[Measures].[__XL_Count Table_pixar_films]" caption="__XL_Count Table_pixar_films" measure="1" displayFolder="" measureGroup="Table_pixar_films" count="0" hidden="1"/>
    <cacheHierarchy uniqueName="[Measures].[__No measures defined]" caption="__No measures defined" measure="1" displayFolder="" count="0" hidden="1"/>
    <cacheHierarchy uniqueName="[Measures].[Count of budget]" caption="Count of budget" measure="1" displayFolder="" measureGroup="box_office" count="0" hidden="1">
      <extLst>
        <ext xmlns:x15="http://schemas.microsoft.com/office/spreadsheetml/2010/11/main" uri="{B97F6D7D-B522-45F9-BDA1-12C45D357490}">
          <x15:cacheHierarchy aggregatedColumn="4"/>
        </ext>
      </extLst>
    </cacheHierarchy>
    <cacheHierarchy uniqueName="[Measures].[Sum of box_office_worldwide]" caption="Sum of box_office_worldwide" measure="1" displayFolder="" measureGroup="box_office" count="0" hidden="1">
      <extLst>
        <ext xmlns:x15="http://schemas.microsoft.com/office/spreadsheetml/2010/11/main" uri="{B97F6D7D-B522-45F9-BDA1-12C45D357490}">
          <x15:cacheHierarchy aggregatedColumn="7"/>
        </ext>
      </extLst>
    </cacheHierarchy>
    <cacheHierarchy uniqueName="[Measures].[Sum of budget]" caption="Sum of budget" measure="1" displayFolder="" measureGroup="box_office" count="0" hidden="1">
      <extLst>
        <ext xmlns:x15="http://schemas.microsoft.com/office/spreadsheetml/2010/11/main" uri="{B97F6D7D-B522-45F9-BDA1-12C45D357490}">
          <x15:cacheHierarchy aggregatedColumn="4"/>
        </ext>
      </extLst>
    </cacheHierarchy>
    <cacheHierarchy uniqueName="[Measures].[Count of status]" caption="Count of status" measure="1" displayFolder="" measureGroup="academy" count="0" hidden="1">
      <extLst>
        <ext xmlns:x15="http://schemas.microsoft.com/office/spreadsheetml/2010/11/main" uri="{B97F6D7D-B522-45F9-BDA1-12C45D357490}">
          <x15:cacheHierarchy aggregatedColumn="2"/>
        </ext>
      </extLst>
    </cacheHierarchy>
    <cacheHierarchy uniqueName="[Measures].[Sum of imdb_counts]" caption="Sum of imdb_counts" measure="1" displayFolder="" measureGroup="public_response" count="0" hidden="1">
      <extLst>
        <ext xmlns:x15="http://schemas.microsoft.com/office/spreadsheetml/2010/11/main" uri="{B97F6D7D-B522-45F9-BDA1-12C45D357490}">
          <x15:cacheHierarchy aggregatedColumn="30"/>
        </ext>
      </extLst>
    </cacheHierarchy>
    <cacheHierarchy uniqueName="[Measures].[Count of cinema_score]" caption="Count of cinema_score" measure="1" displayFolder="" measureGroup="public_response" count="0" hidden="1">
      <extLst>
        <ext xmlns:x15="http://schemas.microsoft.com/office/spreadsheetml/2010/11/main" uri="{B97F6D7D-B522-45F9-BDA1-12C45D357490}">
          <x15:cacheHierarchy aggregatedColumn="28"/>
        </ext>
      </extLst>
    </cacheHierarchy>
    <cacheHierarchy uniqueName="[Measures].[Sum of rotten_tomatoes_score]" caption="Sum of rotten_tomatoes_score" measure="1" displayFolder="" measureGroup="public_response" count="0" hidden="1">
      <extLst>
        <ext xmlns:x15="http://schemas.microsoft.com/office/spreadsheetml/2010/11/main" uri="{B97F6D7D-B522-45F9-BDA1-12C45D357490}">
          <x15:cacheHierarchy aggregatedColumn="24"/>
        </ext>
      </extLst>
    </cacheHierarchy>
    <cacheHierarchy uniqueName="[Measures].[Count of rotten_tomatoes_score]" caption="Count of rotten_tomatoes_score" measure="1" displayFolder="" measureGroup="public_response" count="0" hidden="1">
      <extLst>
        <ext xmlns:x15="http://schemas.microsoft.com/office/spreadsheetml/2010/11/main" uri="{B97F6D7D-B522-45F9-BDA1-12C45D357490}">
          <x15:cacheHierarchy aggregatedColumn="24"/>
        </ext>
      </extLst>
    </cacheHierarchy>
    <cacheHierarchy uniqueName="[Measures].[Average of rotten_tomatoes_score]" caption="Average of rotten_tomatoes_score" measure="1" displayFolder="" measureGroup="public_response" count="0" hidden="1">
      <extLst>
        <ext xmlns:x15="http://schemas.microsoft.com/office/spreadsheetml/2010/11/main" uri="{B97F6D7D-B522-45F9-BDA1-12C45D357490}">
          <x15:cacheHierarchy aggregatedColumn="24"/>
        </ext>
      </extLst>
    </cacheHierarchy>
    <cacheHierarchy uniqueName="[Measures].[Count of status 2]" caption="Count of status 2" measure="1" displayFolder="" measureGroup="Table_academy" count="0" hidden="1">
      <extLst>
        <ext xmlns:x15="http://schemas.microsoft.com/office/spreadsheetml/2010/11/main" uri="{B97F6D7D-B522-45F9-BDA1-12C45D357490}">
          <x15:cacheHierarchy aggregatedColumn="33"/>
        </ext>
      </extLst>
    </cacheHierarchy>
    <cacheHierarchy uniqueName="[Measures].[Sum of rotten_tomatoes_score 2]" caption="Sum of rotten_tomatoes_score 2" measure="1" displayFolder="" measureGroup="Table_public_response" count="0" hidden="1">
      <extLst>
        <ext xmlns:x15="http://schemas.microsoft.com/office/spreadsheetml/2010/11/main" uri="{B97F6D7D-B522-45F9-BDA1-12C45D357490}">
          <x15:cacheHierarchy aggregatedColumn="46"/>
        </ext>
      </extLst>
    </cacheHierarchy>
    <cacheHierarchy uniqueName="[Measures].[Count of film_rating]" caption="Count of film_rating" measure="1" displayFolder="" measureGroup="pixar_films" count="0" hidden="1">
      <extLst>
        <ext xmlns:x15="http://schemas.microsoft.com/office/spreadsheetml/2010/11/main" uri="{B97F6D7D-B522-45F9-BDA1-12C45D357490}">
          <x15:cacheHierarchy aggregatedColumn="15"/>
        </ext>
      </extLst>
    </cacheHierarchy>
    <cacheHierarchy uniqueName="[Measures].[Count of value]" caption="Count of value" measure="1" displayFolder="" measureGroup="genres"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film]" caption="Count of film" measure="1" displayFolder="" measureGroup="pixar_films" count="0" hidden="1">
      <extLst>
        <ext xmlns:x15="http://schemas.microsoft.com/office/spreadsheetml/2010/11/main" uri="{B97F6D7D-B522-45F9-BDA1-12C45D357490}">
          <x15:cacheHierarchy aggregatedColumn="12"/>
        </ext>
      </extLst>
    </cacheHierarchy>
    <cacheHierarchy uniqueName="[Measures].[Count of film 2]" caption="Count of film 2" measure="1" displayFolder="" measureGroup="genres" count="0" hidden="1">
      <extLst>
        <ext xmlns:x15="http://schemas.microsoft.com/office/spreadsheetml/2010/11/main" uri="{B97F6D7D-B522-45F9-BDA1-12C45D357490}">
          <x15:cacheHierarchy aggregatedColumn="8"/>
        </ext>
      </extLst>
    </cacheHierarchy>
    <cacheHierarchy uniqueName="[Measures].[Sum of Release Year]" caption="Sum of Release Year" measure="1" displayFolder="" measureGroup="Table_pixar_films" count="0" hidden="1">
      <extLst>
        <ext xmlns:x15="http://schemas.microsoft.com/office/spreadsheetml/2010/11/main" uri="{B97F6D7D-B522-45F9-BDA1-12C45D357490}">
          <x15:cacheHierarchy aggregatedColumn="41"/>
        </ext>
      </extLst>
    </cacheHierarchy>
    <cacheHierarchy uniqueName="[Measures].[Distinct Count of status]" caption="Distinct Count of status" measure="1" displayFolder="" measureGroup="academy" count="0" hidden="1">
      <extLst>
        <ext xmlns:x15="http://schemas.microsoft.com/office/spreadsheetml/2010/11/main" uri="{B97F6D7D-B522-45F9-BDA1-12C45D357490}">
          <x15:cacheHierarchy aggregatedColumn="2"/>
        </ext>
      </extLst>
    </cacheHierarchy>
    <cacheHierarchy uniqueName="[Measures].[Count of film_rating 2]" caption="Count of film_rating 2" measure="1" displayFolder="" measureGroup="Table_pixar_films" count="0" hidden="1">
      <extLst>
        <ext xmlns:x15="http://schemas.microsoft.com/office/spreadsheetml/2010/11/main" uri="{B97F6D7D-B522-45F9-BDA1-12C45D357490}">
          <x15:cacheHierarchy aggregatedColumn="38"/>
        </ext>
      </extLst>
    </cacheHierarchy>
  </cacheHierarchies>
  <kpis count="0"/>
  <dimensions count="10">
    <dimension name="academy" uniqueName="[academy]" caption="academy"/>
    <dimension name="box_office" uniqueName="[box_office]" caption="box_office"/>
    <dimension name="genres" uniqueName="[genres]" caption="genres"/>
    <dimension measure="1" name="Measures" uniqueName="[Measures]" caption="Measures"/>
    <dimension name="pixar_films" uniqueName="[pixar_films]" caption="pixar_films"/>
    <dimension name="pixar_people" uniqueName="[pixar_people]" caption="pixar_people"/>
    <dimension name="public_response" uniqueName="[public_response]" caption="public_response"/>
    <dimension name="Table_academy" uniqueName="[Table_academy]" caption="Table_academy"/>
    <dimension name="Table_pixar_films" uniqueName="[Table_pixar_films]" caption="Table_pixar_films"/>
    <dimension name="Table_public_response" uniqueName="[Table_public_response]" caption="Table_public_response"/>
  </dimensions>
  <measureGroups count="9">
    <measureGroup name="academy" caption="academy"/>
    <measureGroup name="box_office" caption="box_office"/>
    <measureGroup name="genres" caption="genres"/>
    <measureGroup name="pixar_films" caption="pixar_films"/>
    <measureGroup name="pixar_people" caption="pixar_people"/>
    <measureGroup name="public_response" caption="public_response"/>
    <measureGroup name="Table_academy" caption="Table_academy"/>
    <measureGroup name="Table_pixar_films" caption="Table_pixar_films"/>
    <measureGroup name="Table_public_response" caption="Table_public_response"/>
  </measureGroups>
  <maps count="18">
    <map measureGroup="0" dimension="0"/>
    <map measureGroup="0" dimension="1"/>
    <map measureGroup="0" dimension="4"/>
    <map measureGroup="0" dimension="6"/>
    <map measureGroup="0" dimension="9"/>
    <map measureGroup="1" dimension="1"/>
    <map measureGroup="1" dimension="4"/>
    <map measureGroup="2" dimension="2"/>
    <map measureGroup="2" dimension="4"/>
    <map measureGroup="3" dimension="4"/>
    <map measureGroup="4" dimension="5"/>
    <map measureGroup="5" dimension="1"/>
    <map measureGroup="5" dimension="4"/>
    <map measureGroup="5" dimension="6"/>
    <map measureGroup="6" dimension="7"/>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820" refreshedDate="46273.665001041663" backgroundQuery="1" createdVersion="7" refreshedVersion="7" minRefreshableVersion="3" recordCount="0" supportSubquery="1" supportAdvancedDrill="1" xr:uid="{930DA7D6-0C0E-44AE-89A7-9C90E36F21B9}">
  <cacheSource type="external" connectionId="13"/>
  <cacheFields count="3">
    <cacheField name="[box_office].[film].[film]" caption="film" numFmtId="0" hierarchy="3" level="1">
      <sharedItems count="10">
        <s v="Coco"/>
        <s v="Finding Dory"/>
        <s v="Finding Nemo"/>
        <s v="Incredibles 2"/>
        <s v="Inside Out"/>
        <s v="Inside Out 2"/>
        <s v="Monsters University"/>
        <s v="Toy Story 3"/>
        <s v="Toy Story 4"/>
        <s v="Up"/>
      </sharedItems>
    </cacheField>
    <cacheField name="[Measures].[Sum of budget]" caption="Sum of budget" numFmtId="0" hierarchy="67" level="32767"/>
    <cacheField name="[Measures].[Sum of box_office_worldwide]" caption="Sum of box_office_worldwide" numFmtId="0" hierarchy="66" level="32767"/>
  </cacheFields>
  <cacheHierarchies count="83">
    <cacheHierarchy uniqueName="[academy].[film]" caption="film" attribute="1" defaultMemberUniqueName="[academy].[film].[All]" allUniqueName="[academy].[film].[All]" dimensionUniqueName="[academy]" displayFolder="" count="0" memberValueDatatype="130" unbalanced="0"/>
    <cacheHierarchy uniqueName="[academy].[award_type]" caption="award_type" attribute="1" defaultMemberUniqueName="[academy].[award_type].[All]" allUniqueName="[academy].[award_type].[All]" dimensionUniqueName="[academy]" displayFolder="" count="0" memberValueDatatype="130" unbalanced="0"/>
    <cacheHierarchy uniqueName="[academy].[status]" caption="status" attribute="1" defaultMemberUniqueName="[academy].[status].[All]" allUniqueName="[academy].[status].[All]" dimensionUniqueName="[academy]" displayFolder="" count="0" memberValueDatatype="130" unbalanced="0"/>
    <cacheHierarchy uniqueName="[box_office].[film]" caption="film" attribute="1" defaultMemberUniqueName="[box_office].[film].[All]" allUniqueName="[box_office].[film].[All]" dimensionUniqueName="[box_office]" displayFolder="" count="2" memberValueDatatype="130" unbalanced="0">
      <fieldsUsage count="2">
        <fieldUsage x="-1"/>
        <fieldUsage x="0"/>
      </fieldsUsage>
    </cacheHierarchy>
    <cacheHierarchy uniqueName="[box_office].[budget]" caption="budget" attribute="1" defaultMemberUniqueName="[box_office].[budget].[All]" allUniqueName="[box_office].[budget].[All]" dimensionUniqueName="[box_office]" displayFolder="" count="0" memberValueDatatype="6" unbalanced="0"/>
    <cacheHierarchy uniqueName="[box_office].[box_office_us_canada]" caption="box_office_us_canada" attribute="1" defaultMemberUniqueName="[box_office].[box_office_us_canada].[All]" allUniqueName="[box_office].[box_office_us_canada].[All]" dimensionUniqueName="[box_office]" displayFolder="" count="0" memberValueDatatype="20" unbalanced="0"/>
    <cacheHierarchy uniqueName="[box_office].[box_office_other]" caption="box_office_other" attribute="1" defaultMemberUniqueName="[box_office].[box_office_other].[All]" allUniqueName="[box_office].[box_office_other].[All]" dimensionUniqueName="[box_office]" displayFolder="" count="0" memberValueDatatype="20" unbalanced="0"/>
    <cacheHierarchy uniqueName="[box_office].[box_office_worldwide]" caption="box_office_worldwide" attribute="1" defaultMemberUniqueName="[box_office].[box_office_worldwide].[All]" allUniqueName="[box_office].[box_office_worldwide].[All]" dimensionUniqueName="[box_office]" displayFolder="" count="0" memberValueDatatype="20" unbalanced="0"/>
    <cacheHierarchy uniqueName="[genres].[film]" caption="film" attribute="1" defaultMemberUniqueName="[genres].[film].[All]" allUniqueName="[genres].[film].[All]" dimensionUniqueName="[genres]" displayFolder="" count="0" memberValueDatatype="130" unbalanced="0"/>
    <cacheHierarchy uniqueName="[genres].[category]" caption="category" attribute="1" defaultMemberUniqueName="[genres].[category].[All]" allUniqueName="[genres].[category].[All]" dimensionUniqueName="[genres]" displayFolder="" count="0" memberValueDatatype="130" unbalanced="0"/>
    <cacheHierarchy uniqueName="[genres].[value]" caption="value" attribute="1" defaultMemberUniqueName="[genres].[value].[All]" allUniqueName="[genres].[value].[All]" dimensionUniqueName="[genres]" displayFolder="" count="0" memberValueDatatype="130" unbalanced="0"/>
    <cacheHierarchy uniqueName="[pixar_films].[number]" caption="number" attribute="1" defaultMemberUniqueName="[pixar_films].[number].[All]" allUniqueName="[pixar_films].[number].[All]" dimensionUniqueName="[pixar_films]" displayFolder="" count="0" memberValueDatatype="20" unbalanced="0"/>
    <cacheHierarchy uniqueName="[pixar_films].[film]" caption="film" attribute="1" defaultMemberUniqueName="[pixar_films].[film].[All]" allUniqueName="[pixar_films].[film].[All]" dimensionUniqueName="[pixar_films]" displayFolder="" count="0" memberValueDatatype="130" unbalanced="0"/>
    <cacheHierarchy uniqueName="[pixar_films].[release_date]" caption="release_date" attribute="1" time="1" defaultMemberUniqueName="[pixar_films].[release_date].[All]" allUniqueName="[pixar_films].[release_date].[All]" dimensionUniqueName="[pixar_films]" displayFolder="" count="0" memberValueDatatype="7" unbalanced="0"/>
    <cacheHierarchy uniqueName="[pixar_films].[run_time]" caption="run_time" attribute="1" defaultMemberUniqueName="[pixar_films].[run_time].[All]" allUniqueName="[pixar_films].[run_time].[All]" dimensionUniqueName="[pixar_films]" displayFolder="" count="0" memberValueDatatype="20" unbalanced="0"/>
    <cacheHierarchy uniqueName="[pixar_films].[film_rating]" caption="film_rating" attribute="1" defaultMemberUniqueName="[pixar_films].[film_rating].[All]" allUniqueName="[pixar_films].[film_rating].[All]" dimensionUniqueName="[pixar_films]" displayFolder="" count="0" memberValueDatatype="130" unbalanced="0"/>
    <cacheHierarchy uniqueName="[pixar_films].[plot]" caption="plot" attribute="1" defaultMemberUniqueName="[pixar_films].[plot].[All]" allUniqueName="[pixar_films].[plot].[All]" dimensionUniqueName="[pixar_films]" displayFolder="" count="0" memberValueDatatype="130" unbalanced="0"/>
    <cacheHierarchy uniqueName="[pixar_films].[release_date (Year)]" caption="release_date (Year)" attribute="1" defaultMemberUniqueName="[pixar_films].[release_date (Year)].[All]" allUniqueName="[pixar_films].[release_date (Year)].[All]" dimensionUniqueName="[pixar_films]" displayFolder="" count="0" memberValueDatatype="130" unbalanced="0"/>
    <cacheHierarchy uniqueName="[pixar_films].[release_date (Quarter)]" caption="release_date (Quarter)" attribute="1" defaultMemberUniqueName="[pixar_films].[release_date (Quarter)].[All]" allUniqueName="[pixar_films].[release_date (Quarter)].[All]" dimensionUniqueName="[pixar_films]" displayFolder="" count="0" memberValueDatatype="130" unbalanced="0"/>
    <cacheHierarchy uniqueName="[pixar_films].[release_date (Month)]" caption="release_date (Month)" attribute="1" defaultMemberUniqueName="[pixar_films].[release_date (Month)].[All]" allUniqueName="[pixar_films].[release_date (Month)].[All]" dimensionUniqueName="[pixar_films]" displayFolder="" count="0" memberValueDatatype="130" unbalanced="0"/>
    <cacheHierarchy uniqueName="[pixar_people].[film]" caption="film" attribute="1" defaultMemberUniqueName="[pixar_people].[film].[All]" allUniqueName="[pixar_people].[film].[All]" dimensionUniqueName="[pixar_people]" displayFolder="" count="0" memberValueDatatype="130" unbalanced="0"/>
    <cacheHierarchy uniqueName="[pixar_people].[role_type]" caption="role_type" attribute="1" defaultMemberUniqueName="[pixar_people].[role_type].[All]" allUniqueName="[pixar_people].[role_type].[All]" dimensionUniqueName="[pixar_people]" displayFolder="" count="0" memberValueDatatype="130" unbalanced="0"/>
    <cacheHierarchy uniqueName="[pixar_people].[name]" caption="name" attribute="1" defaultMemberUniqueName="[pixar_people].[name].[All]" allUniqueName="[pixar_people].[name].[All]" dimensionUniqueName="[pixar_people]" displayFolder="" count="0" memberValueDatatype="130" unbalanced="0"/>
    <cacheHierarchy uniqueName="[public_response].[film]" caption="film" attribute="1" defaultMemberUniqueName="[public_response].[film].[All]" allUniqueName="[public_response].[film].[All]" dimensionUniqueName="[public_response]" displayFolder="" count="0" memberValueDatatype="130" unbalanced="0"/>
    <cacheHierarchy uniqueName="[public_response].[rotten_tomatoes_score]" caption="rotten_tomatoes_score" attribute="1" defaultMemberUniqueName="[public_response].[rotten_tomatoes_score].[All]" allUniqueName="[public_response].[rotten_tomatoes_score].[All]" dimensionUniqueName="[public_response]" displayFolder="" count="0" memberValueDatatype="20" unbalanced="0"/>
    <cacheHierarchy uniqueName="[public_response].[rotten_tomatoes_counts]" caption="rotten_tomatoes_counts" attribute="1" defaultMemberUniqueName="[public_response].[rotten_tomatoes_counts].[All]" allUniqueName="[public_response].[rotten_tomatoes_counts].[All]" dimensionUniqueName="[public_response]" displayFolder="" count="0" memberValueDatatype="20" unbalanced="0"/>
    <cacheHierarchy uniqueName="[public_response].[metacritic_score]" caption="metacritic_score" attribute="1" defaultMemberUniqueName="[public_response].[metacritic_score].[All]" allUniqueName="[public_response].[metacritic_score].[All]" dimensionUniqueName="[public_response]" displayFolder="" count="0" memberValueDatatype="20" unbalanced="0"/>
    <cacheHierarchy uniqueName="[public_response].[metacritic_counts]" caption="metacritic_counts" attribute="1" defaultMemberUniqueName="[public_response].[metacritic_counts].[All]" allUniqueName="[public_response].[metacritic_counts].[All]" dimensionUniqueName="[public_response]" displayFolder="" count="0" memberValueDatatype="20" unbalanced="0"/>
    <cacheHierarchy uniqueName="[public_response].[cinema_score]" caption="cinema_score" attribute="1" defaultMemberUniqueName="[public_response].[cinema_score].[All]" allUniqueName="[public_response].[cinema_score].[All]" dimensionUniqueName="[public_response]" displayFolder="" count="0" memberValueDatatype="130" unbalanced="0"/>
    <cacheHierarchy uniqueName="[public_response].[imdb_score]" caption="imdb_score" attribute="1" defaultMemberUniqueName="[public_response].[imdb_score].[All]" allUniqueName="[public_response].[imdb_score].[All]" dimensionUniqueName="[public_response]" displayFolder="" count="0" memberValueDatatype="5" unbalanced="0"/>
    <cacheHierarchy uniqueName="[public_response].[imdb_counts]" caption="imdb_counts" attribute="1" defaultMemberUniqueName="[public_response].[imdb_counts].[All]" allUniqueName="[public_response].[imdb_counts].[All]" dimensionUniqueName="[public_response]" displayFolder="" count="0" memberValueDatatype="20" unbalanced="0"/>
    <cacheHierarchy uniqueName="[Table_academy].[film]" caption="film" attribute="1" defaultMemberUniqueName="[Table_academy].[film].[All]" allUniqueName="[Table_academy].[film].[All]" dimensionUniqueName="[Table_academy]" displayFolder="" count="0" memberValueDatatype="130" unbalanced="0"/>
    <cacheHierarchy uniqueName="[Table_academy].[award_type]" caption="award_type" attribute="1" defaultMemberUniqueName="[Table_academy].[award_type].[All]" allUniqueName="[Table_academy].[award_type].[All]" dimensionUniqueName="[Table_academy]" displayFolder="" count="0" memberValueDatatype="130" unbalanced="0"/>
    <cacheHierarchy uniqueName="[Table_academy].[status]" caption="status" attribute="1" defaultMemberUniqueName="[Table_academy].[status].[All]" allUniqueName="[Table_academy].[status].[All]" dimensionUniqueName="[Table_academy]" displayFolder="" count="0" memberValueDatatype="130" unbalanced="0"/>
    <cacheHierarchy uniqueName="[Table_pixar_films].[number]" caption="number" attribute="1" defaultMemberUniqueName="[Table_pixar_films].[number].[All]" allUniqueName="[Table_pixar_films].[number].[All]" dimensionUniqueName="[Table_pixar_films]" displayFolder="" count="0" memberValueDatatype="20" unbalanced="0"/>
    <cacheHierarchy uniqueName="[Table_pixar_films].[film]" caption="film" attribute="1" defaultMemberUniqueName="[Table_pixar_films].[film].[All]" allUniqueName="[Table_pixar_films].[film].[All]" dimensionUniqueName="[Table_pixar_films]" displayFolder="" count="0" memberValueDatatype="130" unbalanced="0"/>
    <cacheHierarchy uniqueName="[Table_pixar_films].[release_date]" caption="release_date" attribute="1" time="1" defaultMemberUniqueName="[Table_pixar_films].[release_date].[All]" allUniqueName="[Table_pixar_films].[release_date].[All]" dimensionUniqueName="[Table_pixar_films]" displayFolder="" count="0" memberValueDatatype="7" unbalanced="0"/>
    <cacheHierarchy uniqueName="[Table_pixar_films].[run_time]" caption="run_time" attribute="1" defaultMemberUniqueName="[Table_pixar_films].[run_time].[All]" allUniqueName="[Table_pixar_films].[run_time].[All]" dimensionUniqueName="[Table_pixar_films]" displayFolder="" count="0" memberValueDatatype="20" unbalanced="0"/>
    <cacheHierarchy uniqueName="[Table_pixar_films].[film_rating]" caption="film_rating" attribute="1" defaultMemberUniqueName="[Table_pixar_films].[film_rating].[All]" allUniqueName="[Table_pixar_films].[film_rating].[All]" dimensionUniqueName="[Table_pixar_films]" displayFolder="" count="0" memberValueDatatype="130" unbalanced="0"/>
    <cacheHierarchy uniqueName="[Table_pixar_films].[plot]" caption="plot" attribute="1" defaultMemberUniqueName="[Table_pixar_films].[plot].[All]" allUniqueName="[Table_pixar_films].[plot].[All]" dimensionUniqueName="[Table_pixar_films]" displayFolder="" count="0" memberValueDatatype="130" unbalanced="0"/>
    <cacheHierarchy uniqueName="[Table_pixar_films].[release_date (Year)]" caption="release_date (Year)" attribute="1" defaultMemberUniqueName="[Table_pixar_films].[release_date (Year)].[All]" allUniqueName="[Table_pixar_films].[release_date (Year)].[All]" dimensionUniqueName="[Table_pixar_films]" displayFolder="" count="0" memberValueDatatype="130" unbalanced="0"/>
    <cacheHierarchy uniqueName="[Table_pixar_films].[Release Year]" caption="Release Year" attribute="1" defaultMemberUniqueName="[Table_pixar_films].[Release Year].[All]" allUniqueName="[Table_pixar_films].[Release Year].[All]" dimensionUniqueName="[Table_pixar_films]" displayFolder="" count="0" memberValueDatatype="20" unbalanced="0"/>
    <cacheHierarchy uniqueName="[Table_pixar_films].[release_date (Year)1]" caption="release_date (Year)1" attribute="1" defaultMemberUniqueName="[Table_pixar_films].[release_date (Year)1].[All]" allUniqueName="[Table_pixar_films].[release_date (Year)1].[All]" dimensionUniqueName="[Table_pixar_films]" displayFolder="" count="0" memberValueDatatype="130" unbalanced="0"/>
    <cacheHierarchy uniqueName="[Table_pixar_films].[release_date (Quarter)]" caption="release_date (Quarter)" attribute="1" defaultMemberUniqueName="[Table_pixar_films].[release_date (Quarter)].[All]" allUniqueName="[Table_pixar_films].[release_date (Quarter)].[All]" dimensionUniqueName="[Table_pixar_films]" displayFolder="" count="0" memberValueDatatype="130" unbalanced="0"/>
    <cacheHierarchy uniqueName="[Table_pixar_films].[release_date (Month)]" caption="release_date (Month)" attribute="1" defaultMemberUniqueName="[Table_pixar_films].[release_date (Month)].[All]" allUniqueName="[Table_pixar_films].[release_date (Month)].[All]" dimensionUniqueName="[Table_pixar_films]" displayFolder="" count="0" memberValueDatatype="130" unbalanced="0"/>
    <cacheHierarchy uniqueName="[Table_public_response].[film]" caption="film" attribute="1" defaultMemberUniqueName="[Table_public_response].[film].[All]" allUniqueName="[Table_public_response].[film].[All]" dimensionUniqueName="[Table_public_response]" displayFolder="" count="0" memberValueDatatype="130" unbalanced="0"/>
    <cacheHierarchy uniqueName="[Table_public_response].[rotten_tomatoes_score]" caption="rotten_tomatoes_score" attribute="1" defaultMemberUniqueName="[Table_public_response].[rotten_tomatoes_score].[All]" allUniqueName="[Table_public_response].[rotten_tomatoes_score].[All]" dimensionUniqueName="[Table_public_response]" displayFolder="" count="0" memberValueDatatype="20" unbalanced="0"/>
    <cacheHierarchy uniqueName="[Table_public_response].[rotten_tomatoes_counts]" caption="rotten_tomatoes_counts" attribute="1" defaultMemberUniqueName="[Table_public_response].[rotten_tomatoes_counts].[All]" allUniqueName="[Table_public_response].[rotten_tomatoes_counts].[All]" dimensionUniqueName="[Table_public_response]" displayFolder="" count="0" memberValueDatatype="20" unbalanced="0"/>
    <cacheHierarchy uniqueName="[Table_public_response].[metacritic_score]" caption="metacritic_score" attribute="1" defaultMemberUniqueName="[Table_public_response].[metacritic_score].[All]" allUniqueName="[Table_public_response].[metacritic_score].[All]" dimensionUniqueName="[Table_public_response]" displayFolder="" count="0" memberValueDatatype="20" unbalanced="0"/>
    <cacheHierarchy uniqueName="[Table_public_response].[metacritic_counts]" caption="metacritic_counts" attribute="1" defaultMemberUniqueName="[Table_public_response].[metacritic_counts].[All]" allUniqueName="[Table_public_response].[metacritic_counts].[All]" dimensionUniqueName="[Table_public_response]" displayFolder="" count="0" memberValueDatatype="20" unbalanced="0"/>
    <cacheHierarchy uniqueName="[Table_public_response].[cinema_score]" caption="cinema_score" attribute="1" defaultMemberUniqueName="[Table_public_response].[cinema_score].[All]" allUniqueName="[Table_public_response].[cinema_score].[All]" dimensionUniqueName="[Table_public_response]" displayFolder="" count="0" memberValueDatatype="130" unbalanced="0"/>
    <cacheHierarchy uniqueName="[Table_public_response].[imdb_score]" caption="imdb_score" attribute="1" defaultMemberUniqueName="[Table_public_response].[imdb_score].[All]" allUniqueName="[Table_public_response].[imdb_score].[All]" dimensionUniqueName="[Table_public_response]" displayFolder="" count="0" memberValueDatatype="5" unbalanced="0"/>
    <cacheHierarchy uniqueName="[Table_public_response].[imdb_counts]" caption="imdb_counts" attribute="1" defaultMemberUniqueName="[Table_public_response].[imdb_counts].[All]" allUniqueName="[Table_public_response].[imdb_counts].[All]" dimensionUniqueName="[Table_public_response]" displayFolder="" count="0" memberValueDatatype="20" unbalanced="0"/>
    <cacheHierarchy uniqueName="[pixar_films].[release_date (Month Index)]" caption="release_date (Month Index)" attribute="1" defaultMemberUniqueName="[pixar_films].[release_date (Month Index)].[All]" allUniqueName="[pixar_films].[release_date (Month Index)].[All]" dimensionUniqueName="[pixar_films]" displayFolder="" count="0" memberValueDatatype="20" unbalanced="0" hidden="1"/>
    <cacheHierarchy uniqueName="[Table_pixar_films].[release_date (Month Index)]" caption="release_date (Month Index)" attribute="1" defaultMemberUniqueName="[Table_pixar_films].[release_date (Month Index)].[All]" allUniqueName="[Table_pixar_films].[release_date (Month Index)].[All]" dimensionUniqueName="[Table_pixar_films]" displayFolder="" count="0" memberValueDatatype="20" unbalanced="0" hidden="1"/>
    <cacheHierarchy uniqueName="[Measures].[__XL_Count academy]" caption="__XL_Count academy" measure="1" displayFolder="" measureGroup="academy" count="0" hidden="1"/>
    <cacheHierarchy uniqueName="[Measures].[__XL_Count box_office]" caption="__XL_Count box_office" measure="1" displayFolder="" measureGroup="box_office" count="0" hidden="1"/>
    <cacheHierarchy uniqueName="[Measures].[__XL_Count genres]" caption="__XL_Count genres" measure="1" displayFolder="" measureGroup="genres" count="0" hidden="1"/>
    <cacheHierarchy uniqueName="[Measures].[__XL_Count pixar_films]" caption="__XL_Count pixar_films" measure="1" displayFolder="" measureGroup="pixar_films" count="0" hidden="1"/>
    <cacheHierarchy uniqueName="[Measures].[__XL_Count pixar_people]" caption="__XL_Count pixar_people" measure="1" displayFolder="" measureGroup="pixar_people" count="0" hidden="1"/>
    <cacheHierarchy uniqueName="[Measures].[__XL_Count public_response]" caption="__XL_Count public_response" measure="1" displayFolder="" measureGroup="public_response" count="0" hidden="1"/>
    <cacheHierarchy uniqueName="[Measures].[__XL_Count Table_academy]" caption="__XL_Count Table_academy" measure="1" displayFolder="" measureGroup="Table_academy" count="0" hidden="1"/>
    <cacheHierarchy uniqueName="[Measures].[__XL_Count Table_public_response]" caption="__XL_Count Table_public_response" measure="1" displayFolder="" measureGroup="Table_public_response" count="0" hidden="1"/>
    <cacheHierarchy uniqueName="[Measures].[__XL_Count Table_pixar_films]" caption="__XL_Count Table_pixar_films" measure="1" displayFolder="" measureGroup="Table_pixar_films" count="0" hidden="1"/>
    <cacheHierarchy uniqueName="[Measures].[__No measures defined]" caption="__No measures defined" measure="1" displayFolder="" count="0" hidden="1"/>
    <cacheHierarchy uniqueName="[Measures].[Count of budget]" caption="Count of budget" measure="1" displayFolder="" measureGroup="box_office" count="0" hidden="1">
      <extLst>
        <ext xmlns:x15="http://schemas.microsoft.com/office/spreadsheetml/2010/11/main" uri="{B97F6D7D-B522-45F9-BDA1-12C45D357490}">
          <x15:cacheHierarchy aggregatedColumn="4"/>
        </ext>
      </extLst>
    </cacheHierarchy>
    <cacheHierarchy uniqueName="[Measures].[Sum of box_office_worldwide]" caption="Sum of box_office_worldwide" measure="1" displayFolder="" measureGroup="box_office"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budget]" caption="Sum of budget" measure="1" displayFolder="" measureGroup="box_office"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status]" caption="Count of status" measure="1" displayFolder="" measureGroup="academy" count="0" hidden="1">
      <extLst>
        <ext xmlns:x15="http://schemas.microsoft.com/office/spreadsheetml/2010/11/main" uri="{B97F6D7D-B522-45F9-BDA1-12C45D357490}">
          <x15:cacheHierarchy aggregatedColumn="2"/>
        </ext>
      </extLst>
    </cacheHierarchy>
    <cacheHierarchy uniqueName="[Measures].[Sum of imdb_counts]" caption="Sum of imdb_counts" measure="1" displayFolder="" measureGroup="public_response" count="0" hidden="1">
      <extLst>
        <ext xmlns:x15="http://schemas.microsoft.com/office/spreadsheetml/2010/11/main" uri="{B97F6D7D-B522-45F9-BDA1-12C45D357490}">
          <x15:cacheHierarchy aggregatedColumn="30"/>
        </ext>
      </extLst>
    </cacheHierarchy>
    <cacheHierarchy uniqueName="[Measures].[Count of cinema_score]" caption="Count of cinema_score" measure="1" displayFolder="" measureGroup="public_response" count="0" hidden="1">
      <extLst>
        <ext xmlns:x15="http://schemas.microsoft.com/office/spreadsheetml/2010/11/main" uri="{B97F6D7D-B522-45F9-BDA1-12C45D357490}">
          <x15:cacheHierarchy aggregatedColumn="28"/>
        </ext>
      </extLst>
    </cacheHierarchy>
    <cacheHierarchy uniqueName="[Measures].[Sum of rotten_tomatoes_score]" caption="Sum of rotten_tomatoes_score" measure="1" displayFolder="" measureGroup="public_response" count="0" hidden="1">
      <extLst>
        <ext xmlns:x15="http://schemas.microsoft.com/office/spreadsheetml/2010/11/main" uri="{B97F6D7D-B522-45F9-BDA1-12C45D357490}">
          <x15:cacheHierarchy aggregatedColumn="24"/>
        </ext>
      </extLst>
    </cacheHierarchy>
    <cacheHierarchy uniqueName="[Measures].[Count of rotten_tomatoes_score]" caption="Count of rotten_tomatoes_score" measure="1" displayFolder="" measureGroup="public_response" count="0" hidden="1">
      <extLst>
        <ext xmlns:x15="http://schemas.microsoft.com/office/spreadsheetml/2010/11/main" uri="{B97F6D7D-B522-45F9-BDA1-12C45D357490}">
          <x15:cacheHierarchy aggregatedColumn="24"/>
        </ext>
      </extLst>
    </cacheHierarchy>
    <cacheHierarchy uniqueName="[Measures].[Average of rotten_tomatoes_score]" caption="Average of rotten_tomatoes_score" measure="1" displayFolder="" measureGroup="public_response" count="0" hidden="1">
      <extLst>
        <ext xmlns:x15="http://schemas.microsoft.com/office/spreadsheetml/2010/11/main" uri="{B97F6D7D-B522-45F9-BDA1-12C45D357490}">
          <x15:cacheHierarchy aggregatedColumn="24"/>
        </ext>
      </extLst>
    </cacheHierarchy>
    <cacheHierarchy uniqueName="[Measures].[Count of status 2]" caption="Count of status 2" measure="1" displayFolder="" measureGroup="Table_academy" count="0" hidden="1">
      <extLst>
        <ext xmlns:x15="http://schemas.microsoft.com/office/spreadsheetml/2010/11/main" uri="{B97F6D7D-B522-45F9-BDA1-12C45D357490}">
          <x15:cacheHierarchy aggregatedColumn="33"/>
        </ext>
      </extLst>
    </cacheHierarchy>
    <cacheHierarchy uniqueName="[Measures].[Sum of rotten_tomatoes_score 2]" caption="Sum of rotten_tomatoes_score 2" measure="1" displayFolder="" measureGroup="Table_public_response" count="0" hidden="1">
      <extLst>
        <ext xmlns:x15="http://schemas.microsoft.com/office/spreadsheetml/2010/11/main" uri="{B97F6D7D-B522-45F9-BDA1-12C45D357490}">
          <x15:cacheHierarchy aggregatedColumn="46"/>
        </ext>
      </extLst>
    </cacheHierarchy>
    <cacheHierarchy uniqueName="[Measures].[Count of film_rating]" caption="Count of film_rating" measure="1" displayFolder="" measureGroup="pixar_films" count="0" hidden="1">
      <extLst>
        <ext xmlns:x15="http://schemas.microsoft.com/office/spreadsheetml/2010/11/main" uri="{B97F6D7D-B522-45F9-BDA1-12C45D357490}">
          <x15:cacheHierarchy aggregatedColumn="15"/>
        </ext>
      </extLst>
    </cacheHierarchy>
    <cacheHierarchy uniqueName="[Measures].[Count of value]" caption="Count of value" measure="1" displayFolder="" measureGroup="genres" count="0" hidden="1">
      <extLst>
        <ext xmlns:x15="http://schemas.microsoft.com/office/spreadsheetml/2010/11/main" uri="{B97F6D7D-B522-45F9-BDA1-12C45D357490}">
          <x15:cacheHierarchy aggregatedColumn="10"/>
        </ext>
      </extLst>
    </cacheHierarchy>
    <cacheHierarchy uniqueName="[Measures].[Count of film]" caption="Count of film" measure="1" displayFolder="" measureGroup="pixar_films" count="0" hidden="1">
      <extLst>
        <ext xmlns:x15="http://schemas.microsoft.com/office/spreadsheetml/2010/11/main" uri="{B97F6D7D-B522-45F9-BDA1-12C45D357490}">
          <x15:cacheHierarchy aggregatedColumn="12"/>
        </ext>
      </extLst>
    </cacheHierarchy>
    <cacheHierarchy uniqueName="[Measures].[Count of film 2]" caption="Count of film 2" measure="1" displayFolder="" measureGroup="genres" count="0" hidden="1">
      <extLst>
        <ext xmlns:x15="http://schemas.microsoft.com/office/spreadsheetml/2010/11/main" uri="{B97F6D7D-B522-45F9-BDA1-12C45D357490}">
          <x15:cacheHierarchy aggregatedColumn="8"/>
        </ext>
      </extLst>
    </cacheHierarchy>
    <cacheHierarchy uniqueName="[Measures].[Sum of Release Year]" caption="Sum of Release Year" measure="1" displayFolder="" measureGroup="Table_pixar_films" count="0" hidden="1">
      <extLst>
        <ext xmlns:x15="http://schemas.microsoft.com/office/spreadsheetml/2010/11/main" uri="{B97F6D7D-B522-45F9-BDA1-12C45D357490}">
          <x15:cacheHierarchy aggregatedColumn="41"/>
        </ext>
      </extLst>
    </cacheHierarchy>
    <cacheHierarchy uniqueName="[Measures].[Distinct Count of status]" caption="Distinct Count of status" measure="1" displayFolder="" measureGroup="academy" count="0" hidden="1">
      <extLst>
        <ext xmlns:x15="http://schemas.microsoft.com/office/spreadsheetml/2010/11/main" uri="{B97F6D7D-B522-45F9-BDA1-12C45D357490}">
          <x15:cacheHierarchy aggregatedColumn="2"/>
        </ext>
      </extLst>
    </cacheHierarchy>
    <cacheHierarchy uniqueName="[Measures].[Count of film_rating 2]" caption="Count of film_rating 2" measure="1" displayFolder="" measureGroup="Table_pixar_films" count="0" hidden="1">
      <extLst>
        <ext xmlns:x15="http://schemas.microsoft.com/office/spreadsheetml/2010/11/main" uri="{B97F6D7D-B522-45F9-BDA1-12C45D357490}">
          <x15:cacheHierarchy aggregatedColumn="38"/>
        </ext>
      </extLst>
    </cacheHierarchy>
  </cacheHierarchies>
  <kpis count="0"/>
  <dimensions count="10">
    <dimension name="academy" uniqueName="[academy]" caption="academy"/>
    <dimension name="box_office" uniqueName="[box_office]" caption="box_office"/>
    <dimension name="genres" uniqueName="[genres]" caption="genres"/>
    <dimension measure="1" name="Measures" uniqueName="[Measures]" caption="Measures"/>
    <dimension name="pixar_films" uniqueName="[pixar_films]" caption="pixar_films"/>
    <dimension name="pixar_people" uniqueName="[pixar_people]" caption="pixar_people"/>
    <dimension name="public_response" uniqueName="[public_response]" caption="public_response"/>
    <dimension name="Table_academy" uniqueName="[Table_academy]" caption="Table_academy"/>
    <dimension name="Table_pixar_films" uniqueName="[Table_pixar_films]" caption="Table_pixar_films"/>
    <dimension name="Table_public_response" uniqueName="[Table_public_response]" caption="Table_public_response"/>
  </dimensions>
  <measureGroups count="9">
    <measureGroup name="academy" caption="academy"/>
    <measureGroup name="box_office" caption="box_office"/>
    <measureGroup name="genres" caption="genres"/>
    <measureGroup name="pixar_films" caption="pixar_films"/>
    <measureGroup name="pixar_people" caption="pixar_people"/>
    <measureGroup name="public_response" caption="public_response"/>
    <measureGroup name="Table_academy" caption="Table_academy"/>
    <measureGroup name="Table_pixar_films" caption="Table_pixar_films"/>
    <measureGroup name="Table_public_response" caption="Table_public_response"/>
  </measureGroups>
  <maps count="18">
    <map measureGroup="0" dimension="0"/>
    <map measureGroup="0" dimension="1"/>
    <map measureGroup="0" dimension="4"/>
    <map measureGroup="0" dimension="6"/>
    <map measureGroup="0" dimension="9"/>
    <map measureGroup="1" dimension="1"/>
    <map measureGroup="1" dimension="4"/>
    <map measureGroup="2" dimension="2"/>
    <map measureGroup="2" dimension="4"/>
    <map measureGroup="3" dimension="4"/>
    <map measureGroup="4" dimension="5"/>
    <map measureGroup="5" dimension="1"/>
    <map measureGroup="5" dimension="4"/>
    <map measureGroup="5" dimension="6"/>
    <map measureGroup="6" dimension="7"/>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820" refreshedDate="46273.666703703704" backgroundQuery="1" createdVersion="7" refreshedVersion="7" minRefreshableVersion="3" recordCount="0" supportSubquery="1" supportAdvancedDrill="1" xr:uid="{E0546020-20AB-4C3F-A9A6-15E221FCB5B8}">
  <cacheSource type="external" connectionId="13"/>
  <cacheFields count="6">
    <cacheField name="[public_response].[film].[film]" caption="film" numFmtId="0" hierarchy="23" level="1">
      <sharedItems count="10">
        <s v="A Bug's Life"/>
        <s v="Finding Nemo"/>
        <s v="Monsters, Inc."/>
        <s v="Ratatouille"/>
        <s v="Soul"/>
        <s v="The Incredibles"/>
        <s v="Toy Story"/>
        <s v="Toy Story 3"/>
        <s v="Up"/>
        <s v="WALL-E"/>
      </sharedItems>
    </cacheField>
    <cacheField name="[Measures].[Count of status 2]" caption="Count of status 2" numFmtId="0" hierarchy="74" level="32767"/>
    <cacheField name="[Table_academy].[status].[status]" caption="status" numFmtId="0" hierarchy="33" level="1">
      <sharedItems containsSemiMixedTypes="0" containsNonDate="0" containsString="0"/>
    </cacheField>
    <cacheField name="[Table_academy].[film].[film]" caption="film" numFmtId="0" hierarchy="31" level="1">
      <sharedItems count="10">
        <s v="Brave"/>
        <s v="Coco"/>
        <s v="Finding Nemo"/>
        <s v="Inside Out"/>
        <s v="Monsters, Inc."/>
        <s v="Ratatouille"/>
        <s v="Soul"/>
        <s v="The Incredibles"/>
        <s v="Toy Story 3"/>
        <s v="Up"/>
      </sharedItems>
    </cacheField>
    <cacheField name="[Measures].[Sum of rotten_tomatoes_score 2]" caption="Sum of rotten_tomatoes_score 2" numFmtId="0" hierarchy="75" level="32767"/>
    <cacheField name="[Table_public_response].[film].[film]" caption="film" numFmtId="0" hierarchy="45" level="1">
      <sharedItems count="10">
        <s v="Brave"/>
        <s v="Coco"/>
        <s v="Finding Nemo"/>
        <s v="Inside Out"/>
        <s v="Monsters, Inc."/>
        <s v="Ratatouille"/>
        <s v="Soul"/>
        <s v="The Incredibles"/>
        <s v="Toy Story 3"/>
        <s v="Up"/>
      </sharedItems>
    </cacheField>
  </cacheFields>
  <cacheHierarchies count="83">
    <cacheHierarchy uniqueName="[academy].[film]" caption="film" attribute="1" defaultMemberUniqueName="[academy].[film].[All]" allUniqueName="[academy].[film].[All]" dimensionUniqueName="[academy]" displayFolder="" count="0" memberValueDatatype="130" unbalanced="0"/>
    <cacheHierarchy uniqueName="[academy].[award_type]" caption="award_type" attribute="1" defaultMemberUniqueName="[academy].[award_type].[All]" allUniqueName="[academy].[award_type].[All]" dimensionUniqueName="[academy]" displayFolder="" count="0" memberValueDatatype="130" unbalanced="0"/>
    <cacheHierarchy uniqueName="[academy].[status]" caption="status" attribute="1" defaultMemberUniqueName="[academy].[status].[All]" allUniqueName="[academy].[status].[All]" dimensionUniqueName="[academy]" displayFolder="" count="0" memberValueDatatype="130" unbalanced="0"/>
    <cacheHierarchy uniqueName="[box_office].[film]" caption="film" attribute="1" defaultMemberUniqueName="[box_office].[film].[All]" allUniqueName="[box_office].[film].[All]" dimensionUniqueName="[box_office]" displayFolder="" count="0" memberValueDatatype="130" unbalanced="0"/>
    <cacheHierarchy uniqueName="[box_office].[budget]" caption="budget" attribute="1" defaultMemberUniqueName="[box_office].[budget].[All]" allUniqueName="[box_office].[budget].[All]" dimensionUniqueName="[box_office]" displayFolder="" count="0" memberValueDatatype="6" unbalanced="0"/>
    <cacheHierarchy uniqueName="[box_office].[box_office_us_canada]" caption="box_office_us_canada" attribute="1" defaultMemberUniqueName="[box_office].[box_office_us_canada].[All]" allUniqueName="[box_office].[box_office_us_canada].[All]" dimensionUniqueName="[box_office]" displayFolder="" count="0" memberValueDatatype="20" unbalanced="0"/>
    <cacheHierarchy uniqueName="[box_office].[box_office_other]" caption="box_office_other" attribute="1" defaultMemberUniqueName="[box_office].[box_office_other].[All]" allUniqueName="[box_office].[box_office_other].[All]" dimensionUniqueName="[box_office]" displayFolder="" count="0" memberValueDatatype="20" unbalanced="0"/>
    <cacheHierarchy uniqueName="[box_office].[box_office_worldwide]" caption="box_office_worldwide" attribute="1" defaultMemberUniqueName="[box_office].[box_office_worldwide].[All]" allUniqueName="[box_office].[box_office_worldwide].[All]" dimensionUniqueName="[box_office]" displayFolder="" count="0" memberValueDatatype="20" unbalanced="0"/>
    <cacheHierarchy uniqueName="[genres].[film]" caption="film" attribute="1" defaultMemberUniqueName="[genres].[film].[All]" allUniqueName="[genres].[film].[All]" dimensionUniqueName="[genres]" displayFolder="" count="0" memberValueDatatype="130" unbalanced="0"/>
    <cacheHierarchy uniqueName="[genres].[category]" caption="category" attribute="1" defaultMemberUniqueName="[genres].[category].[All]" allUniqueName="[genres].[category].[All]" dimensionUniqueName="[genres]" displayFolder="" count="0" memberValueDatatype="130" unbalanced="0"/>
    <cacheHierarchy uniqueName="[genres].[value]" caption="value" attribute="1" defaultMemberUniqueName="[genres].[value].[All]" allUniqueName="[genres].[value].[All]" dimensionUniqueName="[genres]" displayFolder="" count="0" memberValueDatatype="130" unbalanced="0"/>
    <cacheHierarchy uniqueName="[pixar_films].[number]" caption="number" attribute="1" defaultMemberUniqueName="[pixar_films].[number].[All]" allUniqueName="[pixar_films].[number].[All]" dimensionUniqueName="[pixar_films]" displayFolder="" count="0" memberValueDatatype="20" unbalanced="0"/>
    <cacheHierarchy uniqueName="[pixar_films].[film]" caption="film" attribute="1" defaultMemberUniqueName="[pixar_films].[film].[All]" allUniqueName="[pixar_films].[film].[All]" dimensionUniqueName="[pixar_films]" displayFolder="" count="0" memberValueDatatype="130" unbalanced="0"/>
    <cacheHierarchy uniqueName="[pixar_films].[release_date]" caption="release_date" attribute="1" time="1" defaultMemberUniqueName="[pixar_films].[release_date].[All]" allUniqueName="[pixar_films].[release_date].[All]" dimensionUniqueName="[pixar_films]" displayFolder="" count="0" memberValueDatatype="7" unbalanced="0"/>
    <cacheHierarchy uniqueName="[pixar_films].[run_time]" caption="run_time" attribute="1" defaultMemberUniqueName="[pixar_films].[run_time].[All]" allUniqueName="[pixar_films].[run_time].[All]" dimensionUniqueName="[pixar_films]" displayFolder="" count="0" memberValueDatatype="20" unbalanced="0"/>
    <cacheHierarchy uniqueName="[pixar_films].[film_rating]" caption="film_rating" attribute="1" defaultMemberUniqueName="[pixar_films].[film_rating].[All]" allUniqueName="[pixar_films].[film_rating].[All]" dimensionUniqueName="[pixar_films]" displayFolder="" count="0" memberValueDatatype="130" unbalanced="0"/>
    <cacheHierarchy uniqueName="[pixar_films].[plot]" caption="plot" attribute="1" defaultMemberUniqueName="[pixar_films].[plot].[All]" allUniqueName="[pixar_films].[plot].[All]" dimensionUniqueName="[pixar_films]" displayFolder="" count="0" memberValueDatatype="130" unbalanced="0"/>
    <cacheHierarchy uniqueName="[pixar_films].[release_date (Year)]" caption="release_date (Year)" attribute="1" defaultMemberUniqueName="[pixar_films].[release_date (Year)].[All]" allUniqueName="[pixar_films].[release_date (Year)].[All]" dimensionUniqueName="[pixar_films]" displayFolder="" count="0" memberValueDatatype="130" unbalanced="0"/>
    <cacheHierarchy uniqueName="[pixar_films].[release_date (Quarter)]" caption="release_date (Quarter)" attribute="1" defaultMemberUniqueName="[pixar_films].[release_date (Quarter)].[All]" allUniqueName="[pixar_films].[release_date (Quarter)].[All]" dimensionUniqueName="[pixar_films]" displayFolder="" count="0" memberValueDatatype="130" unbalanced="0"/>
    <cacheHierarchy uniqueName="[pixar_films].[release_date (Month)]" caption="release_date (Month)" attribute="1" defaultMemberUniqueName="[pixar_films].[release_date (Month)].[All]" allUniqueName="[pixar_films].[release_date (Month)].[All]" dimensionUniqueName="[pixar_films]" displayFolder="" count="0" memberValueDatatype="130" unbalanced="0"/>
    <cacheHierarchy uniqueName="[pixar_people].[film]" caption="film" attribute="1" defaultMemberUniqueName="[pixar_people].[film].[All]" allUniqueName="[pixar_people].[film].[All]" dimensionUniqueName="[pixar_people]" displayFolder="" count="0" memberValueDatatype="130" unbalanced="0"/>
    <cacheHierarchy uniqueName="[pixar_people].[role_type]" caption="role_type" attribute="1" defaultMemberUniqueName="[pixar_people].[role_type].[All]" allUniqueName="[pixar_people].[role_type].[All]" dimensionUniqueName="[pixar_people]" displayFolder="" count="0" memberValueDatatype="130" unbalanced="0"/>
    <cacheHierarchy uniqueName="[pixar_people].[name]" caption="name" attribute="1" defaultMemberUniqueName="[pixar_people].[name].[All]" allUniqueName="[pixar_people].[name].[All]" dimensionUniqueName="[pixar_people]" displayFolder="" count="0" memberValueDatatype="130" unbalanced="0"/>
    <cacheHierarchy uniqueName="[public_response].[film]" caption="film" attribute="1" defaultMemberUniqueName="[public_response].[film].[All]" allUniqueName="[public_response].[film].[All]" dimensionUniqueName="[public_response]" displayFolder="" count="2" memberValueDatatype="130" unbalanced="0">
      <fieldsUsage count="2">
        <fieldUsage x="-1"/>
        <fieldUsage x="0"/>
      </fieldsUsage>
    </cacheHierarchy>
    <cacheHierarchy uniqueName="[public_response].[rotten_tomatoes_score]" caption="rotten_tomatoes_score" attribute="1" defaultMemberUniqueName="[public_response].[rotten_tomatoes_score].[All]" allUniqueName="[public_response].[rotten_tomatoes_score].[All]" dimensionUniqueName="[public_response]" displayFolder="" count="0" memberValueDatatype="20" unbalanced="0"/>
    <cacheHierarchy uniqueName="[public_response].[rotten_tomatoes_counts]" caption="rotten_tomatoes_counts" attribute="1" defaultMemberUniqueName="[public_response].[rotten_tomatoes_counts].[All]" allUniqueName="[public_response].[rotten_tomatoes_counts].[All]" dimensionUniqueName="[public_response]" displayFolder="" count="0" memberValueDatatype="20" unbalanced="0"/>
    <cacheHierarchy uniqueName="[public_response].[metacritic_score]" caption="metacritic_score" attribute="1" defaultMemberUniqueName="[public_response].[metacritic_score].[All]" allUniqueName="[public_response].[metacritic_score].[All]" dimensionUniqueName="[public_response]" displayFolder="" count="0" memberValueDatatype="20" unbalanced="0"/>
    <cacheHierarchy uniqueName="[public_response].[metacritic_counts]" caption="metacritic_counts" attribute="1" defaultMemberUniqueName="[public_response].[metacritic_counts].[All]" allUniqueName="[public_response].[metacritic_counts].[All]" dimensionUniqueName="[public_response]" displayFolder="" count="0" memberValueDatatype="20" unbalanced="0"/>
    <cacheHierarchy uniqueName="[public_response].[cinema_score]" caption="cinema_score" attribute="1" defaultMemberUniqueName="[public_response].[cinema_score].[All]" allUniqueName="[public_response].[cinema_score].[All]" dimensionUniqueName="[public_response]" displayFolder="" count="0" memberValueDatatype="130" unbalanced="0"/>
    <cacheHierarchy uniqueName="[public_response].[imdb_score]" caption="imdb_score" attribute="1" defaultMemberUniqueName="[public_response].[imdb_score].[All]" allUniqueName="[public_response].[imdb_score].[All]" dimensionUniqueName="[public_response]" displayFolder="" count="0" memberValueDatatype="5" unbalanced="0"/>
    <cacheHierarchy uniqueName="[public_response].[imdb_counts]" caption="imdb_counts" attribute="1" defaultMemberUniqueName="[public_response].[imdb_counts].[All]" allUniqueName="[public_response].[imdb_counts].[All]" dimensionUniqueName="[public_response]" displayFolder="" count="0" memberValueDatatype="20" unbalanced="0"/>
    <cacheHierarchy uniqueName="[Table_academy].[film]" caption="film" attribute="1" defaultMemberUniqueName="[Table_academy].[film].[All]" allUniqueName="[Table_academy].[film].[All]" dimensionUniqueName="[Table_academy]" displayFolder="" count="2" memberValueDatatype="130" unbalanced="0">
      <fieldsUsage count="2">
        <fieldUsage x="-1"/>
        <fieldUsage x="3"/>
      </fieldsUsage>
    </cacheHierarchy>
    <cacheHierarchy uniqueName="[Table_academy].[award_type]" caption="award_type" attribute="1" defaultMemberUniqueName="[Table_academy].[award_type].[All]" allUniqueName="[Table_academy].[award_type].[All]" dimensionUniqueName="[Table_academy]" displayFolder="" count="0" memberValueDatatype="130" unbalanced="0"/>
    <cacheHierarchy uniqueName="[Table_academy].[status]" caption="status" attribute="1" defaultMemberUniqueName="[Table_academy].[status].[All]" allUniqueName="[Table_academy].[status].[All]" dimensionUniqueName="[Table_academy]" displayFolder="" count="2" memberValueDatatype="130" unbalanced="0">
      <fieldsUsage count="2">
        <fieldUsage x="-1"/>
        <fieldUsage x="2"/>
      </fieldsUsage>
    </cacheHierarchy>
    <cacheHierarchy uniqueName="[Table_pixar_films].[number]" caption="number" attribute="1" defaultMemberUniqueName="[Table_pixar_films].[number].[All]" allUniqueName="[Table_pixar_films].[number].[All]" dimensionUniqueName="[Table_pixar_films]" displayFolder="" count="0" memberValueDatatype="20" unbalanced="0"/>
    <cacheHierarchy uniqueName="[Table_pixar_films].[film]" caption="film" attribute="1" defaultMemberUniqueName="[Table_pixar_films].[film].[All]" allUniqueName="[Table_pixar_films].[film].[All]" dimensionUniqueName="[Table_pixar_films]" displayFolder="" count="0" memberValueDatatype="130" unbalanced="0"/>
    <cacheHierarchy uniqueName="[Table_pixar_films].[release_date]" caption="release_date" attribute="1" time="1" defaultMemberUniqueName="[Table_pixar_films].[release_date].[All]" allUniqueName="[Table_pixar_films].[release_date].[All]" dimensionUniqueName="[Table_pixar_films]" displayFolder="" count="0" memberValueDatatype="7" unbalanced="0"/>
    <cacheHierarchy uniqueName="[Table_pixar_films].[run_time]" caption="run_time" attribute="1" defaultMemberUniqueName="[Table_pixar_films].[run_time].[All]" allUniqueName="[Table_pixar_films].[run_time].[All]" dimensionUniqueName="[Table_pixar_films]" displayFolder="" count="0" memberValueDatatype="20" unbalanced="0"/>
    <cacheHierarchy uniqueName="[Table_pixar_films].[film_rating]" caption="film_rating" attribute="1" defaultMemberUniqueName="[Table_pixar_films].[film_rating].[All]" allUniqueName="[Table_pixar_films].[film_rating].[All]" dimensionUniqueName="[Table_pixar_films]" displayFolder="" count="0" memberValueDatatype="130" unbalanced="0"/>
    <cacheHierarchy uniqueName="[Table_pixar_films].[plot]" caption="plot" attribute="1" defaultMemberUniqueName="[Table_pixar_films].[plot].[All]" allUniqueName="[Table_pixar_films].[plot].[All]" dimensionUniqueName="[Table_pixar_films]" displayFolder="" count="0" memberValueDatatype="130" unbalanced="0"/>
    <cacheHierarchy uniqueName="[Table_pixar_films].[release_date (Year)]" caption="release_date (Year)" attribute="1" defaultMemberUniqueName="[Table_pixar_films].[release_date (Year)].[All]" allUniqueName="[Table_pixar_films].[release_date (Year)].[All]" dimensionUniqueName="[Table_pixar_films]" displayFolder="" count="0" memberValueDatatype="130" unbalanced="0"/>
    <cacheHierarchy uniqueName="[Table_pixar_films].[Release Year]" caption="Release Year" attribute="1" defaultMemberUniqueName="[Table_pixar_films].[Release Year].[All]" allUniqueName="[Table_pixar_films].[Release Year].[All]" dimensionUniqueName="[Table_pixar_films]" displayFolder="" count="0" memberValueDatatype="20" unbalanced="0"/>
    <cacheHierarchy uniqueName="[Table_pixar_films].[release_date (Year)1]" caption="release_date (Year)1" attribute="1" defaultMemberUniqueName="[Table_pixar_films].[release_date (Year)1].[All]" allUniqueName="[Table_pixar_films].[release_date (Year)1].[All]" dimensionUniqueName="[Table_pixar_films]" displayFolder="" count="0" memberValueDatatype="130" unbalanced="0"/>
    <cacheHierarchy uniqueName="[Table_pixar_films].[release_date (Quarter)]" caption="release_date (Quarter)" attribute="1" defaultMemberUniqueName="[Table_pixar_films].[release_date (Quarter)].[All]" allUniqueName="[Table_pixar_films].[release_date (Quarter)].[All]" dimensionUniqueName="[Table_pixar_films]" displayFolder="" count="0" memberValueDatatype="130" unbalanced="0"/>
    <cacheHierarchy uniqueName="[Table_pixar_films].[release_date (Month)]" caption="release_date (Month)" attribute="1" defaultMemberUniqueName="[Table_pixar_films].[release_date (Month)].[All]" allUniqueName="[Table_pixar_films].[release_date (Month)].[All]" dimensionUniqueName="[Table_pixar_films]" displayFolder="" count="0" memberValueDatatype="130" unbalanced="0"/>
    <cacheHierarchy uniqueName="[Table_public_response].[film]" caption="film" attribute="1" defaultMemberUniqueName="[Table_public_response].[film].[All]" allUniqueName="[Table_public_response].[film].[All]" dimensionUniqueName="[Table_public_response]" displayFolder="" count="2" memberValueDatatype="130" unbalanced="0">
      <fieldsUsage count="2">
        <fieldUsage x="-1"/>
        <fieldUsage x="5"/>
      </fieldsUsage>
    </cacheHierarchy>
    <cacheHierarchy uniqueName="[Table_public_response].[rotten_tomatoes_score]" caption="rotten_tomatoes_score" attribute="1" defaultMemberUniqueName="[Table_public_response].[rotten_tomatoes_score].[All]" allUniqueName="[Table_public_response].[rotten_tomatoes_score].[All]" dimensionUniqueName="[Table_public_response]" displayFolder="" count="0" memberValueDatatype="20" unbalanced="0"/>
    <cacheHierarchy uniqueName="[Table_public_response].[rotten_tomatoes_counts]" caption="rotten_tomatoes_counts" attribute="1" defaultMemberUniqueName="[Table_public_response].[rotten_tomatoes_counts].[All]" allUniqueName="[Table_public_response].[rotten_tomatoes_counts].[All]" dimensionUniqueName="[Table_public_response]" displayFolder="" count="0" memberValueDatatype="20" unbalanced="0"/>
    <cacheHierarchy uniqueName="[Table_public_response].[metacritic_score]" caption="metacritic_score" attribute="1" defaultMemberUniqueName="[Table_public_response].[metacritic_score].[All]" allUniqueName="[Table_public_response].[metacritic_score].[All]" dimensionUniqueName="[Table_public_response]" displayFolder="" count="0" memberValueDatatype="20" unbalanced="0"/>
    <cacheHierarchy uniqueName="[Table_public_response].[metacritic_counts]" caption="metacritic_counts" attribute="1" defaultMemberUniqueName="[Table_public_response].[metacritic_counts].[All]" allUniqueName="[Table_public_response].[metacritic_counts].[All]" dimensionUniqueName="[Table_public_response]" displayFolder="" count="0" memberValueDatatype="20" unbalanced="0"/>
    <cacheHierarchy uniqueName="[Table_public_response].[cinema_score]" caption="cinema_score" attribute="1" defaultMemberUniqueName="[Table_public_response].[cinema_score].[All]" allUniqueName="[Table_public_response].[cinema_score].[All]" dimensionUniqueName="[Table_public_response]" displayFolder="" count="0" memberValueDatatype="130" unbalanced="0"/>
    <cacheHierarchy uniqueName="[Table_public_response].[imdb_score]" caption="imdb_score" attribute="1" defaultMemberUniqueName="[Table_public_response].[imdb_score].[All]" allUniqueName="[Table_public_response].[imdb_score].[All]" dimensionUniqueName="[Table_public_response]" displayFolder="" count="0" memberValueDatatype="5" unbalanced="0"/>
    <cacheHierarchy uniqueName="[Table_public_response].[imdb_counts]" caption="imdb_counts" attribute="1" defaultMemberUniqueName="[Table_public_response].[imdb_counts].[All]" allUniqueName="[Table_public_response].[imdb_counts].[All]" dimensionUniqueName="[Table_public_response]" displayFolder="" count="0" memberValueDatatype="20" unbalanced="0"/>
    <cacheHierarchy uniqueName="[pixar_films].[release_date (Month Index)]" caption="release_date (Month Index)" attribute="1" defaultMemberUniqueName="[pixar_films].[release_date (Month Index)].[All]" allUniqueName="[pixar_films].[release_date (Month Index)].[All]" dimensionUniqueName="[pixar_films]" displayFolder="" count="0" memberValueDatatype="20" unbalanced="0" hidden="1"/>
    <cacheHierarchy uniqueName="[Table_pixar_films].[release_date (Month Index)]" caption="release_date (Month Index)" attribute="1" defaultMemberUniqueName="[Table_pixar_films].[release_date (Month Index)].[All]" allUniqueName="[Table_pixar_films].[release_date (Month Index)].[All]" dimensionUniqueName="[Table_pixar_films]" displayFolder="" count="0" memberValueDatatype="20" unbalanced="0" hidden="1"/>
    <cacheHierarchy uniqueName="[Measures].[__XL_Count academy]" caption="__XL_Count academy" measure="1" displayFolder="" measureGroup="academy" count="0" hidden="1"/>
    <cacheHierarchy uniqueName="[Measures].[__XL_Count box_office]" caption="__XL_Count box_office" measure="1" displayFolder="" measureGroup="box_office" count="0" hidden="1"/>
    <cacheHierarchy uniqueName="[Measures].[__XL_Count genres]" caption="__XL_Count genres" measure="1" displayFolder="" measureGroup="genres" count="0" hidden="1"/>
    <cacheHierarchy uniqueName="[Measures].[__XL_Count pixar_films]" caption="__XL_Count pixar_films" measure="1" displayFolder="" measureGroup="pixar_films" count="0" hidden="1"/>
    <cacheHierarchy uniqueName="[Measures].[__XL_Count pixar_people]" caption="__XL_Count pixar_people" measure="1" displayFolder="" measureGroup="pixar_people" count="0" hidden="1"/>
    <cacheHierarchy uniqueName="[Measures].[__XL_Count public_response]" caption="__XL_Count public_response" measure="1" displayFolder="" measureGroup="public_response" count="0" hidden="1"/>
    <cacheHierarchy uniqueName="[Measures].[__XL_Count Table_academy]" caption="__XL_Count Table_academy" measure="1" displayFolder="" measureGroup="Table_academy" count="0" hidden="1"/>
    <cacheHierarchy uniqueName="[Measures].[__XL_Count Table_public_response]" caption="__XL_Count Table_public_response" measure="1" displayFolder="" measureGroup="Table_public_response" count="0" hidden="1"/>
    <cacheHierarchy uniqueName="[Measures].[__XL_Count Table_pixar_films]" caption="__XL_Count Table_pixar_films" measure="1" displayFolder="" measureGroup="Table_pixar_films" count="0" hidden="1"/>
    <cacheHierarchy uniqueName="[Measures].[__No measures defined]" caption="__No measures defined" measure="1" displayFolder="" count="0" hidden="1"/>
    <cacheHierarchy uniqueName="[Measures].[Count of budget]" caption="Count of budget" measure="1" displayFolder="" measureGroup="box_office" count="0" hidden="1">
      <extLst>
        <ext xmlns:x15="http://schemas.microsoft.com/office/spreadsheetml/2010/11/main" uri="{B97F6D7D-B522-45F9-BDA1-12C45D357490}">
          <x15:cacheHierarchy aggregatedColumn="4"/>
        </ext>
      </extLst>
    </cacheHierarchy>
    <cacheHierarchy uniqueName="[Measures].[Sum of box_office_worldwide]" caption="Sum of box_office_worldwide" measure="1" displayFolder="" measureGroup="box_office" count="0" hidden="1">
      <extLst>
        <ext xmlns:x15="http://schemas.microsoft.com/office/spreadsheetml/2010/11/main" uri="{B97F6D7D-B522-45F9-BDA1-12C45D357490}">
          <x15:cacheHierarchy aggregatedColumn="7"/>
        </ext>
      </extLst>
    </cacheHierarchy>
    <cacheHierarchy uniqueName="[Measures].[Sum of budget]" caption="Sum of budget" measure="1" displayFolder="" measureGroup="box_office" count="0" hidden="1">
      <extLst>
        <ext xmlns:x15="http://schemas.microsoft.com/office/spreadsheetml/2010/11/main" uri="{B97F6D7D-B522-45F9-BDA1-12C45D357490}">
          <x15:cacheHierarchy aggregatedColumn="4"/>
        </ext>
      </extLst>
    </cacheHierarchy>
    <cacheHierarchy uniqueName="[Measures].[Count of status]" caption="Count of status" measure="1" displayFolder="" measureGroup="academy" count="0" hidden="1">
      <extLst>
        <ext xmlns:x15="http://schemas.microsoft.com/office/spreadsheetml/2010/11/main" uri="{B97F6D7D-B522-45F9-BDA1-12C45D357490}">
          <x15:cacheHierarchy aggregatedColumn="2"/>
        </ext>
      </extLst>
    </cacheHierarchy>
    <cacheHierarchy uniqueName="[Measures].[Sum of imdb_counts]" caption="Sum of imdb_counts" measure="1" displayFolder="" measureGroup="public_response" count="0" hidden="1">
      <extLst>
        <ext xmlns:x15="http://schemas.microsoft.com/office/spreadsheetml/2010/11/main" uri="{B97F6D7D-B522-45F9-BDA1-12C45D357490}">
          <x15:cacheHierarchy aggregatedColumn="30"/>
        </ext>
      </extLst>
    </cacheHierarchy>
    <cacheHierarchy uniqueName="[Measures].[Count of cinema_score]" caption="Count of cinema_score" measure="1" displayFolder="" measureGroup="public_response" count="0" hidden="1">
      <extLst>
        <ext xmlns:x15="http://schemas.microsoft.com/office/spreadsheetml/2010/11/main" uri="{B97F6D7D-B522-45F9-BDA1-12C45D357490}">
          <x15:cacheHierarchy aggregatedColumn="28"/>
        </ext>
      </extLst>
    </cacheHierarchy>
    <cacheHierarchy uniqueName="[Measures].[Sum of rotten_tomatoes_score]" caption="Sum of rotten_tomatoes_score" measure="1" displayFolder="" measureGroup="public_response" count="0" hidden="1">
      <extLst>
        <ext xmlns:x15="http://schemas.microsoft.com/office/spreadsheetml/2010/11/main" uri="{B97F6D7D-B522-45F9-BDA1-12C45D357490}">
          <x15:cacheHierarchy aggregatedColumn="24"/>
        </ext>
      </extLst>
    </cacheHierarchy>
    <cacheHierarchy uniqueName="[Measures].[Count of rotten_tomatoes_score]" caption="Count of rotten_tomatoes_score" measure="1" displayFolder="" measureGroup="public_response" count="0" hidden="1">
      <extLst>
        <ext xmlns:x15="http://schemas.microsoft.com/office/spreadsheetml/2010/11/main" uri="{B97F6D7D-B522-45F9-BDA1-12C45D357490}">
          <x15:cacheHierarchy aggregatedColumn="24"/>
        </ext>
      </extLst>
    </cacheHierarchy>
    <cacheHierarchy uniqueName="[Measures].[Average of rotten_tomatoes_score]" caption="Average of rotten_tomatoes_score" measure="1" displayFolder="" measureGroup="public_response" count="0" hidden="1">
      <extLst>
        <ext xmlns:x15="http://schemas.microsoft.com/office/spreadsheetml/2010/11/main" uri="{B97F6D7D-B522-45F9-BDA1-12C45D357490}">
          <x15:cacheHierarchy aggregatedColumn="24"/>
        </ext>
      </extLst>
    </cacheHierarchy>
    <cacheHierarchy uniqueName="[Measures].[Count of status 2]" caption="Count of status 2" measure="1" displayFolder="" measureGroup="Table_academy"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rotten_tomatoes_score 2]" caption="Sum of rotten_tomatoes_score 2" measure="1" displayFolder="" measureGroup="Table_public_response" count="0" oneField="1" hidden="1">
      <fieldsUsage count="1">
        <fieldUsage x="4"/>
      </fieldsUsage>
      <extLst>
        <ext xmlns:x15="http://schemas.microsoft.com/office/spreadsheetml/2010/11/main" uri="{B97F6D7D-B522-45F9-BDA1-12C45D357490}">
          <x15:cacheHierarchy aggregatedColumn="46"/>
        </ext>
      </extLst>
    </cacheHierarchy>
    <cacheHierarchy uniqueName="[Measures].[Count of film_rating]" caption="Count of film_rating" measure="1" displayFolder="" measureGroup="pixar_films" count="0" hidden="1">
      <extLst>
        <ext xmlns:x15="http://schemas.microsoft.com/office/spreadsheetml/2010/11/main" uri="{B97F6D7D-B522-45F9-BDA1-12C45D357490}">
          <x15:cacheHierarchy aggregatedColumn="15"/>
        </ext>
      </extLst>
    </cacheHierarchy>
    <cacheHierarchy uniqueName="[Measures].[Count of value]" caption="Count of value" measure="1" displayFolder="" measureGroup="genres" count="0" hidden="1">
      <extLst>
        <ext xmlns:x15="http://schemas.microsoft.com/office/spreadsheetml/2010/11/main" uri="{B97F6D7D-B522-45F9-BDA1-12C45D357490}">
          <x15:cacheHierarchy aggregatedColumn="10"/>
        </ext>
      </extLst>
    </cacheHierarchy>
    <cacheHierarchy uniqueName="[Measures].[Count of film]" caption="Count of film" measure="1" displayFolder="" measureGroup="pixar_films" count="0" hidden="1">
      <extLst>
        <ext xmlns:x15="http://schemas.microsoft.com/office/spreadsheetml/2010/11/main" uri="{B97F6D7D-B522-45F9-BDA1-12C45D357490}">
          <x15:cacheHierarchy aggregatedColumn="12"/>
        </ext>
      </extLst>
    </cacheHierarchy>
    <cacheHierarchy uniqueName="[Measures].[Count of film 2]" caption="Count of film 2" measure="1" displayFolder="" measureGroup="genres" count="0" hidden="1">
      <extLst>
        <ext xmlns:x15="http://schemas.microsoft.com/office/spreadsheetml/2010/11/main" uri="{B97F6D7D-B522-45F9-BDA1-12C45D357490}">
          <x15:cacheHierarchy aggregatedColumn="8"/>
        </ext>
      </extLst>
    </cacheHierarchy>
    <cacheHierarchy uniqueName="[Measures].[Sum of Release Year]" caption="Sum of Release Year" measure="1" displayFolder="" measureGroup="Table_pixar_films" count="0" hidden="1">
      <extLst>
        <ext xmlns:x15="http://schemas.microsoft.com/office/spreadsheetml/2010/11/main" uri="{B97F6D7D-B522-45F9-BDA1-12C45D357490}">
          <x15:cacheHierarchy aggregatedColumn="41"/>
        </ext>
      </extLst>
    </cacheHierarchy>
    <cacheHierarchy uniqueName="[Measures].[Distinct Count of status]" caption="Distinct Count of status" measure="1" displayFolder="" measureGroup="academy" count="0" hidden="1">
      <extLst>
        <ext xmlns:x15="http://schemas.microsoft.com/office/spreadsheetml/2010/11/main" uri="{B97F6D7D-B522-45F9-BDA1-12C45D357490}">
          <x15:cacheHierarchy aggregatedColumn="2"/>
        </ext>
      </extLst>
    </cacheHierarchy>
    <cacheHierarchy uniqueName="[Measures].[Count of film_rating 2]" caption="Count of film_rating 2" measure="1" displayFolder="" measureGroup="Table_pixar_films" count="0" hidden="1">
      <extLst>
        <ext xmlns:x15="http://schemas.microsoft.com/office/spreadsheetml/2010/11/main" uri="{B97F6D7D-B522-45F9-BDA1-12C45D357490}">
          <x15:cacheHierarchy aggregatedColumn="38"/>
        </ext>
      </extLst>
    </cacheHierarchy>
  </cacheHierarchies>
  <kpis count="0"/>
  <dimensions count="10">
    <dimension name="academy" uniqueName="[academy]" caption="academy"/>
    <dimension name="box_office" uniqueName="[box_office]" caption="box_office"/>
    <dimension name="genres" uniqueName="[genres]" caption="genres"/>
    <dimension measure="1" name="Measures" uniqueName="[Measures]" caption="Measures"/>
    <dimension name="pixar_films" uniqueName="[pixar_films]" caption="pixar_films"/>
    <dimension name="pixar_people" uniqueName="[pixar_people]" caption="pixar_people"/>
    <dimension name="public_response" uniqueName="[public_response]" caption="public_response"/>
    <dimension name="Table_academy" uniqueName="[Table_academy]" caption="Table_academy"/>
    <dimension name="Table_pixar_films" uniqueName="[Table_pixar_films]" caption="Table_pixar_films"/>
    <dimension name="Table_public_response" uniqueName="[Table_public_response]" caption="Table_public_response"/>
  </dimensions>
  <measureGroups count="9">
    <measureGroup name="academy" caption="academy"/>
    <measureGroup name="box_office" caption="box_office"/>
    <measureGroup name="genres" caption="genres"/>
    <measureGroup name="pixar_films" caption="pixar_films"/>
    <measureGroup name="pixar_people" caption="pixar_people"/>
    <measureGroup name="public_response" caption="public_response"/>
    <measureGroup name="Table_academy" caption="Table_academy"/>
    <measureGroup name="Table_pixar_films" caption="Table_pixar_films"/>
    <measureGroup name="Table_public_response" caption="Table_public_response"/>
  </measureGroups>
  <maps count="18">
    <map measureGroup="0" dimension="0"/>
    <map measureGroup="0" dimension="1"/>
    <map measureGroup="0" dimension="4"/>
    <map measureGroup="0" dimension="6"/>
    <map measureGroup="0" dimension="9"/>
    <map measureGroup="1" dimension="1"/>
    <map measureGroup="1" dimension="4"/>
    <map measureGroup="2" dimension="2"/>
    <map measureGroup="2" dimension="4"/>
    <map measureGroup="3" dimension="4"/>
    <map measureGroup="4" dimension="5"/>
    <map measureGroup="5" dimension="1"/>
    <map measureGroup="5" dimension="4"/>
    <map measureGroup="5" dimension="6"/>
    <map measureGroup="6" dimension="7"/>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1A4B9D-0DAE-4C62-A4F6-CA606B4E6E1B}" name="PivotTable5"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Y1:AB27" firstHeaderRow="1" firstDataRow="2" firstDataCol="1"/>
  <pivotFields count="3">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xis="axisCol" allDrilled="1" subtotalTop="0" showAll="0" dataSourceSort="1" defaultSubtotal="0" defaultAttributeDrillState="1">
      <items count="2">
        <item x="0"/>
        <item x="1"/>
      </items>
    </pivotField>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3">
    <i>
      <x/>
    </i>
    <i>
      <x v="1"/>
    </i>
    <i t="grand">
      <x/>
    </i>
  </colItems>
  <dataFields count="1">
    <dataField name="Count of film_rating" fld="1" subtotal="count" baseField="0" baseItem="0"/>
  </dataFields>
  <chartFormats count="27">
    <chartFormat chart="0" format="0" series="1">
      <pivotArea type="data" outline="0" fieldPosition="0">
        <references count="1">
          <reference field="0" count="1" selected="0">
            <x v="0"/>
          </reference>
        </references>
      </pivotArea>
    </chartFormat>
    <chartFormat chart="0" format="1" series="1">
      <pivotArea type="data" outline="0" fieldPosition="0">
        <references count="1">
          <reference field="0" count="1" selected="0">
            <x v="1"/>
          </reference>
        </references>
      </pivotArea>
    </chartFormat>
    <chartFormat chart="0" format="2" series="1">
      <pivotArea type="data" outline="0" fieldPosition="0">
        <references count="1">
          <reference field="0" count="1" selected="0">
            <x v="2"/>
          </reference>
        </references>
      </pivotArea>
    </chartFormat>
    <chartFormat chart="0" format="3" series="1">
      <pivotArea type="data" outline="0" fieldPosition="0">
        <references count="1">
          <reference field="0" count="1" selected="0">
            <x v="3"/>
          </reference>
        </references>
      </pivotArea>
    </chartFormat>
    <chartFormat chart="0" format="4" series="1">
      <pivotArea type="data" outline="0" fieldPosition="0">
        <references count="1">
          <reference field="0" count="1" selected="0">
            <x v="4"/>
          </reference>
        </references>
      </pivotArea>
    </chartFormat>
    <chartFormat chart="0" format="5" series="1">
      <pivotArea type="data" outline="0" fieldPosition="0">
        <references count="1">
          <reference field="0" count="1" selected="0">
            <x v="5"/>
          </reference>
        </references>
      </pivotArea>
    </chartFormat>
    <chartFormat chart="0" format="6" series="1">
      <pivotArea type="data" outline="0" fieldPosition="0">
        <references count="1">
          <reference field="0" count="1" selected="0">
            <x v="6"/>
          </reference>
        </references>
      </pivotArea>
    </chartFormat>
    <chartFormat chart="0" format="7" series="1">
      <pivotArea type="data" outline="0" fieldPosition="0">
        <references count="1">
          <reference field="0" count="1" selected="0">
            <x v="7"/>
          </reference>
        </references>
      </pivotArea>
    </chartFormat>
    <chartFormat chart="0" format="8" series="1">
      <pivotArea type="data" outline="0" fieldPosition="0">
        <references count="1">
          <reference field="0" count="1" selected="0">
            <x v="8"/>
          </reference>
        </references>
      </pivotArea>
    </chartFormat>
    <chartFormat chart="0" format="9" series="1">
      <pivotArea type="data" outline="0" fieldPosition="0">
        <references count="1">
          <reference field="0" count="1" selected="0">
            <x v="9"/>
          </reference>
        </references>
      </pivotArea>
    </chartFormat>
    <chartFormat chart="0" format="10" series="1">
      <pivotArea type="data" outline="0" fieldPosition="0">
        <references count="1">
          <reference field="0" count="1" selected="0">
            <x v="10"/>
          </reference>
        </references>
      </pivotArea>
    </chartFormat>
    <chartFormat chart="0" format="11" series="1">
      <pivotArea type="data" outline="0" fieldPosition="0">
        <references count="1">
          <reference field="0" count="1" selected="0">
            <x v="11"/>
          </reference>
        </references>
      </pivotArea>
    </chartFormat>
    <chartFormat chart="0" format="12" series="1">
      <pivotArea type="data" outline="0" fieldPosition="0">
        <references count="1">
          <reference field="0" count="1" selected="0">
            <x v="12"/>
          </reference>
        </references>
      </pivotArea>
    </chartFormat>
    <chartFormat chart="0" format="13" series="1">
      <pivotArea type="data" outline="0" fieldPosition="0">
        <references count="1">
          <reference field="0" count="1" selected="0">
            <x v="13"/>
          </reference>
        </references>
      </pivotArea>
    </chartFormat>
    <chartFormat chart="0" format="14" series="1">
      <pivotArea type="data" outline="0" fieldPosition="0">
        <references count="1">
          <reference field="0" count="1" selected="0">
            <x v="14"/>
          </reference>
        </references>
      </pivotArea>
    </chartFormat>
    <chartFormat chart="0" format="15" series="1">
      <pivotArea type="data" outline="0" fieldPosition="0">
        <references count="1">
          <reference field="0" count="1" selected="0">
            <x v="15"/>
          </reference>
        </references>
      </pivotArea>
    </chartFormat>
    <chartFormat chart="0" format="16" series="1">
      <pivotArea type="data" outline="0" fieldPosition="0">
        <references count="1">
          <reference field="0" count="1" selected="0">
            <x v="16"/>
          </reference>
        </references>
      </pivotArea>
    </chartFormat>
    <chartFormat chart="0" format="17" series="1">
      <pivotArea type="data" outline="0" fieldPosition="0">
        <references count="1">
          <reference field="0" count="1" selected="0">
            <x v="17"/>
          </reference>
        </references>
      </pivotArea>
    </chartFormat>
    <chartFormat chart="0" format="18" series="1">
      <pivotArea type="data" outline="0" fieldPosition="0">
        <references count="1">
          <reference field="0" count="1" selected="0">
            <x v="18"/>
          </reference>
        </references>
      </pivotArea>
    </chartFormat>
    <chartFormat chart="0" format="19" series="1">
      <pivotArea type="data" outline="0" fieldPosition="0">
        <references count="1">
          <reference field="0" count="1" selected="0">
            <x v="19"/>
          </reference>
        </references>
      </pivotArea>
    </chartFormat>
    <chartFormat chart="0" format="20" series="1">
      <pivotArea type="data" outline="0" fieldPosition="0">
        <references count="1">
          <reference field="0" count="1" selected="0">
            <x v="20"/>
          </reference>
        </references>
      </pivotArea>
    </chartFormat>
    <chartFormat chart="0" format="21" series="1">
      <pivotArea type="data" outline="0" fieldPosition="0">
        <references count="1">
          <reference field="0" count="1" selected="0">
            <x v="21"/>
          </reference>
        </references>
      </pivotArea>
    </chartFormat>
    <chartFormat chart="0" format="22" series="1">
      <pivotArea type="data" outline="0" fieldPosition="0">
        <references count="1">
          <reference field="0" count="1" selected="0">
            <x v="22"/>
          </reference>
        </references>
      </pivotArea>
    </chartFormat>
    <chartFormat chart="0" format="23" series="1">
      <pivotArea type="data" outline="0" fieldPosition="0">
        <references count="1">
          <reference field="0" count="1" selected="0">
            <x v="23"/>
          </reference>
        </references>
      </pivotArea>
    </chartFormat>
    <chartFormat chart="0" format="24" series="1">
      <pivotArea type="data" outline="0" fieldPosition="0">
        <references count="1">
          <reference field="4294967294" count="1" selected="0">
            <x v="0"/>
          </reference>
        </references>
      </pivotArea>
    </chartFormat>
    <chartFormat chart="0" format="25" series="1">
      <pivotArea type="data" outline="0" fieldPosition="0">
        <references count="2">
          <reference field="4294967294" count="1" selected="0">
            <x v="0"/>
          </reference>
          <reference field="2" count="1" selected="0">
            <x v="1"/>
          </reference>
        </references>
      </pivotArea>
    </chartFormat>
    <chartFormat chart="0" format="26" series="1">
      <pivotArea type="data" outline="0" fieldPosition="0">
        <references count="2">
          <reference field="4294967294" count="1" selected="0">
            <x v="0"/>
          </reference>
          <reference field="2" count="1" selected="0">
            <x v="0"/>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2"/>
  </rowHierarchiesUsage>
  <colHierarchiesUsage count="1">
    <colHierarchyUsage hierarchyUsage="3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pixar_fil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F9E86E-9187-4939-B94B-211982251F7B}" name="PivotTable1" cacheId="6" applyNumberFormats="0" applyBorderFormats="0" applyFontFormats="0" applyPatternFormats="0" applyAlignmentFormats="0" applyWidthHeightFormats="1" dataCaption="Values" tag="42bb2603-0a0e-48f1-9bde-70ba74586f79" updatedVersion="7" minRefreshableVersion="3" useAutoFormatting="1" subtotalHiddenItems="1" itemPrintTitles="1" createdVersion="7" indent="0" outline="1" outlineData="1" multipleFieldFilters="0" chartFormat="5">
  <location ref="A1:C12" firstHeaderRow="0"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11">
    <i>
      <x v="5"/>
    </i>
    <i>
      <x v="3"/>
    </i>
    <i>
      <x v="8"/>
    </i>
    <i>
      <x v="7"/>
    </i>
    <i>
      <x v="1"/>
    </i>
    <i>
      <x v="2"/>
    </i>
    <i>
      <x v="4"/>
    </i>
    <i>
      <x/>
    </i>
    <i>
      <x v="6"/>
    </i>
    <i>
      <x v="9"/>
    </i>
    <i t="grand">
      <x/>
    </i>
  </rowItems>
  <colFields count="1">
    <field x="-2"/>
  </colFields>
  <colItems count="2">
    <i>
      <x/>
    </i>
    <i i="1">
      <x v="1"/>
    </i>
  </colItems>
  <dataFields count="2">
    <dataField name="Budget" fld="1" baseField="0" baseItem="0"/>
    <dataField name="Box Office" fld="2"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Box Office"/>
    <pivotHierarchy dragToData="1" caption="Budge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66">
      <autoFilter ref="A1">
        <filterColumn colId="0">
          <top10 val="10" filterVal="10"/>
        </filterColumn>
      </autoFilter>
    </filter>
  </filters>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x_offi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5AA4C3-BCEE-46D0-A519-8A1A92368891}" name="PivotTable4" cacheId="3" applyNumberFormats="0" applyBorderFormats="0" applyFontFormats="0" applyPatternFormats="0" applyAlignmentFormats="0" applyWidthHeightFormats="1" dataCaption="Values" tag="937a5e45-4706-426a-bf2e-f17bf7cefb4e" updatedVersion="7" minRefreshableVersion="3" useAutoFormatting="1" subtotalHiddenItems="1" itemPrintTitles="1" createdVersion="7" indent="0" outline="1" outlineData="1" multipleFieldFilters="0">
  <location ref="J1:K17" firstHeaderRow="1" firstDataRow="1" firstDataCol="1"/>
  <pivotFields count="3">
    <pivotField allDrilled="1" subtotalTop="0" showAll="0" dataSourceSort="1" defaultSubtotal="0" defaultAttributeDrillState="1">
      <items count="15">
        <item s="1" x="0"/>
        <item s="1" x="1"/>
        <item s="1" x="2"/>
        <item s="1" x="3"/>
        <item s="1" x="4"/>
        <item s="1" x="5"/>
        <item s="1" x="6"/>
        <item s="1" x="7"/>
        <item s="1" x="8"/>
        <item s="1" x="9"/>
        <item s="1" x="10"/>
        <item s="1" x="11"/>
        <item s="1" x="12"/>
        <item s="1" x="13"/>
        <item s="1" x="14"/>
      </items>
    </pivotField>
    <pivotField axis="axisRow" allDrilled="1" subtotalTop="0" showAll="0" dataSourceSort="1" defaultSubtotal="0" defaultAttributeDrillState="1">
      <items count="15">
        <item s="1" x="0"/>
        <item s="1" x="1"/>
        <item s="1" x="2"/>
        <item s="1" x="3"/>
        <item s="1" x="4"/>
        <item s="1" x="5"/>
        <item s="1" x="6"/>
        <item s="1" x="7"/>
        <item s="1" x="8"/>
        <item s="1" x="9"/>
        <item s="1" x="10"/>
        <item s="1" x="11"/>
        <item s="1" x="12"/>
        <item s="1" x="13"/>
        <item s="1" x="14"/>
      </items>
    </pivotField>
    <pivotField dataField="1" subtotalTop="0" showAll="0" defaultSubtotal="0"/>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Sum of box_office_worldwide" fld="2" baseField="0" baseItem="0"/>
  </dataField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ademy]"/>
        <x15:activeTabTopLevelEntity name="[box_office]"/>
        <x15:activeTabTopLevelEntity name="[public_respons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FE7467-33C0-4343-B4D1-55A8BC620F05}" name="PivotTable2" cacheId="7" applyNumberFormats="0" applyBorderFormats="0" applyFontFormats="0" applyPatternFormats="0" applyAlignmentFormats="0" applyWidthHeightFormats="1" dataCaption="Values" tag="09c646c8-c750-44a8-853d-c9b689dc13e3" updatedVersion="7" minRefreshableVersion="3" useAutoFormatting="1" subtotalHiddenItems="1" itemPrintTitles="1" createdVersion="7" indent="0" outline="1" outlineData="1" multipleFieldFilters="0" chartFormat="5">
  <location ref="E3:G14" firstHeaderRow="0" firstDataRow="1" firstDataCol="1" rowPageCount="1" colPageCount="1"/>
  <pivotFields count="6">
    <pivotField allDrilled="1" subtotalTop="0" showAll="0" measureFilter="1" defaultSubtotal="0" defaultAttributeDrillState="1">
      <items count="10">
        <item x="1"/>
        <item x="2"/>
        <item x="3"/>
        <item x="4"/>
        <item x="5"/>
        <item x="7"/>
        <item x="8"/>
        <item x="0"/>
        <item x="6"/>
        <item x="9"/>
      </items>
    </pivotField>
    <pivotField dataField="1" subtotalTop="0" showAll="0" defaultSubtotal="0"/>
    <pivotField axis="axisPage" allDrilled="1" subtotalTop="0" showAll="0" dataSourceSort="1" defaultSubtotal="0" defaultAttributeDrillState="1"/>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5"/>
  </rowFields>
  <rowItems count="11">
    <i>
      <x v="4"/>
    </i>
    <i>
      <x v="5"/>
    </i>
    <i>
      <x v="3"/>
    </i>
    <i>
      <x v="2"/>
    </i>
    <i>
      <x/>
    </i>
    <i>
      <x v="1"/>
    </i>
    <i>
      <x v="7"/>
    </i>
    <i>
      <x v="8"/>
    </i>
    <i>
      <x v="6"/>
    </i>
    <i>
      <x v="9"/>
    </i>
    <i t="grand">
      <x/>
    </i>
  </rowItems>
  <colFields count="1">
    <field x="-2"/>
  </colFields>
  <colItems count="2">
    <i>
      <x/>
    </i>
    <i i="1">
      <x v="1"/>
    </i>
  </colItems>
  <pageFields count="1">
    <pageField fld="2" hier="33" name="[Table_academy].[status].&amp;[Won]" cap="Won"/>
  </pageFields>
  <dataFields count="2">
    <dataField name="Awards Won" fld="1" subtotal="count" baseField="0" baseItem="9"/>
    <dataField name="Rotten Tomatoe Score" fld="4" baseField="0" baseItem="9"/>
  </dataFields>
  <chartFormats count="9">
    <chartFormat chart="0" format="10" series="1">
      <pivotArea type="data" outline="0" fieldPosition="0">
        <references count="1">
          <reference field="4294967294" count="1" selected="0">
            <x v="0"/>
          </reference>
        </references>
      </pivotArea>
    </chartFormat>
    <chartFormat chart="0" format="11" series="1">
      <pivotArea type="data" outline="0" fieldPosition="0">
        <references count="1">
          <reference field="4294967294" count="1" selected="0">
            <x v="1"/>
          </reference>
        </references>
      </pivotArea>
    </chartFormat>
    <chartFormat chart="0" format="12">
      <pivotArea type="data" outline="0" fieldPosition="0">
        <references count="2">
          <reference field="4294967294" count="1" selected="0">
            <x v="1"/>
          </reference>
          <reference field="5" count="1" selected="0">
            <x v="9"/>
          </reference>
        </references>
      </pivotArea>
    </chartFormat>
    <chartFormat chart="2" format="15" series="1">
      <pivotArea type="data" outline="0" fieldPosition="0">
        <references count="1">
          <reference field="4294967294" count="1" selected="0">
            <x v="0"/>
          </reference>
        </references>
      </pivotArea>
    </chartFormat>
    <chartFormat chart="2" format="16" series="1">
      <pivotArea type="data" outline="0" fieldPosition="0">
        <references count="1">
          <reference field="4294967294" count="1" selected="0">
            <x v="1"/>
          </reference>
        </references>
      </pivotArea>
    </chartFormat>
    <chartFormat chart="3" format="13" series="1">
      <pivotArea type="data" outline="0" fieldPosition="0">
        <references count="1">
          <reference field="4294967294" count="1" selected="0">
            <x v="0"/>
          </reference>
        </references>
      </pivotArea>
    </chartFormat>
    <chartFormat chart="3" format="14" series="1">
      <pivotArea type="data" outline="0" fieldPosition="0">
        <references count="1">
          <reference field="4294967294" count="1" selected="0">
            <x v="1"/>
          </reference>
        </references>
      </pivotArea>
    </chartFormat>
    <chartFormat chart="4" format="15" series="1">
      <pivotArea type="data" outline="0" fieldPosition="0">
        <references count="1">
          <reference field="4294967294" count="1" selected="0">
            <x v="0"/>
          </reference>
        </references>
      </pivotArea>
    </chartFormat>
    <chartFormat chart="4" format="16" series="1">
      <pivotArea type="data" outline="0" fieldPosition="0">
        <references count="1">
          <reference field="4294967294" count="1" selected="0">
            <x v="1"/>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Table_academy].[status].&amp;[Won]"/>
        <member name="[Table_academy].[status].&amp;[Won Special Achievemen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rotten_tomatoes_score"/>
    <pivotHierarchy dragToData="1" caption="Awards Won"/>
    <pivotHierarchy dragToData="1" caption="Rotten Tomatoe Score"/>
    <pivotHierarchy dragToData="1"/>
    <pivotHierarchy dragToData="1"/>
    <pivotHierarchy dragToData="1"/>
    <pivotHierarchy dragToData="1"/>
    <pivotHierarchy dragToData="1"/>
    <pivotHierarchy dragToData="1" caption="Distinct Count of status"/>
    <pivotHierarchy dragToData="1"/>
  </pivotHierarchies>
  <pivotTableStyleInfo name="PivotStyleLight16" showRowHeaders="1" showColHeaders="1" showRowStripes="0" showColStripes="0" showLastColumn="1"/>
  <filters count="3">
    <filter fld="0" type="count" id="1" iMeasureHier="68">
      <autoFilter ref="A1">
        <filterColumn colId="0">
          <top10 val="10" filterVal="10"/>
        </filterColumn>
      </autoFilter>
    </filter>
    <filter fld="3" type="count" id="3" iMeasureHier="74">
      <autoFilter ref="A1">
        <filterColumn colId="0">
          <top10 val="10" filterVal="10"/>
        </filterColumn>
      </autoFilter>
    </filter>
    <filter fld="5" type="count" id="4" iMeasureHier="74">
      <autoFilter ref="A1">
        <filterColumn colId="0">
          <top10 val="10" filterVal="10"/>
        </filterColumn>
      </autoFilter>
    </filter>
  </filters>
  <rowHierarchiesUsage count="1">
    <rowHierarchyUsage hierarchyUsage="4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ademy]"/>
        <x15:activeTabTopLevelEntity name="[public_response]"/>
        <x15:activeTabTopLevelEntity name="[Table_academy]"/>
        <x15:activeTabTopLevelEntity name="[Table_public_respons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68B24F-78F9-49BF-AF5A-FA86759356C7}" name="PivotTable3" cacheId="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location ref="P4:W55" firstHeaderRow="1" firstDataRow="2" firstDataCol="1" rowPageCount="1" colPageCount="1"/>
  <pivotFields count="5">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xis="axisPage" allDrilled="1" subtotalTop="0" showAll="0" dataSourceSort="1" defaultSubtotal="0" defaultAttributeDrillState="1">
      <items count="1">
        <item s="1"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2">
        <item x="0"/>
        <item x="1"/>
      </items>
    </pivotField>
  </pivotFields>
  <rowFields count="2">
    <field x="0"/>
    <field x="4"/>
  </rowFields>
  <rowItems count="50">
    <i>
      <x/>
    </i>
    <i r="1">
      <x/>
    </i>
    <i>
      <x v="1"/>
    </i>
    <i r="1">
      <x/>
    </i>
    <i>
      <x v="2"/>
    </i>
    <i r="1">
      <x/>
    </i>
    <i>
      <x v="3"/>
    </i>
    <i r="1">
      <x/>
    </i>
    <i>
      <x v="4"/>
    </i>
    <i r="1">
      <x/>
    </i>
    <i>
      <x v="5"/>
    </i>
    <i r="1">
      <x v="1"/>
    </i>
    <i>
      <x v="6"/>
    </i>
    <i r="1">
      <x/>
    </i>
    <i>
      <x v="7"/>
    </i>
    <i r="1">
      <x/>
    </i>
    <i>
      <x v="8"/>
    </i>
    <i r="1">
      <x/>
    </i>
    <i>
      <x v="9"/>
    </i>
    <i r="1">
      <x v="1"/>
    </i>
    <i>
      <x v="10"/>
    </i>
    <i r="1">
      <x/>
    </i>
    <i>
      <x v="11"/>
    </i>
    <i r="1">
      <x/>
    </i>
    <i>
      <x v="12"/>
    </i>
    <i r="1">
      <x v="1"/>
    </i>
    <i>
      <x v="13"/>
    </i>
    <i r="1">
      <x/>
    </i>
    <i>
      <x v="14"/>
    </i>
    <i r="1">
      <x v="1"/>
    </i>
    <i>
      <x v="15"/>
    </i>
    <i r="1">
      <x v="1"/>
    </i>
    <i>
      <x v="16"/>
    </i>
    <i r="1">
      <x/>
    </i>
    <i r="1">
      <x v="1"/>
    </i>
    <i>
      <x v="17"/>
    </i>
    <i r="1">
      <x v="1"/>
    </i>
    <i>
      <x v="18"/>
    </i>
    <i r="1">
      <x/>
    </i>
    <i>
      <x v="19"/>
    </i>
    <i r="1">
      <x v="1"/>
    </i>
    <i>
      <x v="20"/>
    </i>
    <i r="1">
      <x v="1"/>
    </i>
    <i>
      <x v="21"/>
    </i>
    <i r="1">
      <x v="1"/>
    </i>
    <i>
      <x v="22"/>
    </i>
    <i r="1">
      <x v="1"/>
    </i>
    <i>
      <x v="23"/>
    </i>
    <i r="1">
      <x v="1"/>
    </i>
    <i t="grand">
      <x/>
    </i>
  </rowItems>
  <colFields count="1">
    <field x="3"/>
  </colFields>
  <colItems count="7">
    <i>
      <x/>
    </i>
    <i>
      <x v="1"/>
    </i>
    <i>
      <x v="2"/>
    </i>
    <i>
      <x v="3"/>
    </i>
    <i>
      <x v="4"/>
    </i>
    <i>
      <x v="5"/>
    </i>
    <i t="grand">
      <x/>
    </i>
  </colItems>
  <pageFields count="1">
    <pageField fld="1" hier="9" name="[genres].[category].&amp;[Genre]" cap="Genre"/>
  </pageFields>
  <dataFields count="1">
    <dataField name="Count of value" fld="2" subtotal="count" baseField="0" baseItem="0"/>
  </dataFields>
  <chartFormats count="1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18" series="1">
      <pivotArea type="data" outline="0" fieldPosition="0">
        <references count="2">
          <reference field="4294967294" count="1" selected="0">
            <x v="0"/>
          </reference>
          <reference field="3" count="1" selected="0">
            <x v="0"/>
          </reference>
        </references>
      </pivotArea>
    </chartFormat>
    <chartFormat chart="2" format="25" series="1">
      <pivotArea type="data" outline="0" fieldPosition="0">
        <references count="2">
          <reference field="4294967294" count="1" selected="0">
            <x v="0"/>
          </reference>
          <reference field="3" count="1" selected="0">
            <x v="0"/>
          </reference>
        </references>
      </pivotArea>
    </chartFormat>
    <chartFormat chart="2" format="26" series="1">
      <pivotArea type="data" outline="0" fieldPosition="0">
        <references count="2">
          <reference field="4294967294" count="1" selected="0">
            <x v="0"/>
          </reference>
          <reference field="3" count="1" selected="0">
            <x v="1"/>
          </reference>
        </references>
      </pivotArea>
    </chartFormat>
    <chartFormat chart="2" format="27" series="1">
      <pivotArea type="data" outline="0" fieldPosition="0">
        <references count="2">
          <reference field="4294967294" count="1" selected="0">
            <x v="0"/>
          </reference>
          <reference field="3" count="1" selected="0">
            <x v="2"/>
          </reference>
        </references>
      </pivotArea>
    </chartFormat>
    <chartFormat chart="2" format="28" series="1">
      <pivotArea type="data" outline="0" fieldPosition="0">
        <references count="2">
          <reference field="4294967294" count="1" selected="0">
            <x v="0"/>
          </reference>
          <reference field="3" count="1" selected="0">
            <x v="3"/>
          </reference>
        </references>
      </pivotArea>
    </chartFormat>
    <chartFormat chart="2" format="29" series="1">
      <pivotArea type="data" outline="0" fieldPosition="0">
        <references count="2">
          <reference field="4294967294" count="1" selected="0">
            <x v="0"/>
          </reference>
          <reference field="3" count="1" selected="0">
            <x v="4"/>
          </reference>
        </references>
      </pivotArea>
    </chartFormat>
    <chartFormat chart="2" format="30" series="1">
      <pivotArea type="data" outline="0" fieldPosition="0">
        <references count="2">
          <reference field="4294967294" count="1" selected="0">
            <x v="0"/>
          </reference>
          <reference field="3" count="1" selected="0">
            <x v="5"/>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7"/>
    <rowHierarchyUsage hierarchyUsage="15"/>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ixar_films]"/>
        <x15:activeTabTopLevelEntity name="[genr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academy" backgroundRefresh="0" connectionId="4" xr16:uid="{A37A4AFD-4A87-48F3-963D-22B8D10CA5C6}" autoFormatId="16" applyNumberFormats="0" applyBorderFormats="0" applyFontFormats="0" applyPatternFormats="0" applyAlignmentFormats="0" applyWidthHeightFormats="0">
  <queryTableRefresh nextId="4">
    <queryTableFields count="3">
      <queryTableField id="1" name="film" tableColumnId="1"/>
      <queryTableField id="2" name="award_type" tableColumnId="2"/>
      <queryTableField id="3" name="status" tableColumnId="3"/>
    </queryTableFields>
  </queryTableRefresh>
  <extLst>
    <ext xmlns:x15="http://schemas.microsoft.com/office/spreadsheetml/2010/11/main" uri="{883FBD77-0823-4a55-B5E3-86C4891E6966}">
      <x15:queryTable sourceDataName="academy"/>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box_office" backgroundRefresh="0" connectionId="5" xr16:uid="{9B4E7BC4-8806-451E-B1F1-9D4E2A1CC6F0}" autoFormatId="16" applyNumberFormats="0" applyBorderFormats="0" applyFontFormats="0" applyPatternFormats="0" applyAlignmentFormats="0" applyWidthHeightFormats="0">
  <queryTableRefresh nextId="6">
    <queryTableFields count="5">
      <queryTableField id="1" name="film" tableColumnId="1"/>
      <queryTableField id="2" name="budget" tableColumnId="2"/>
      <queryTableField id="3" name="box_office_us_canada" tableColumnId="3"/>
      <queryTableField id="4" name="box_office_other" tableColumnId="4"/>
      <queryTableField id="5" name="box_office_worldwide" tableColumnId="5"/>
    </queryTableFields>
  </queryTableRefresh>
  <extLst>
    <ext xmlns:x15="http://schemas.microsoft.com/office/spreadsheetml/2010/11/main" uri="{883FBD77-0823-4a55-B5E3-86C4891E6966}">
      <x15:queryTable sourceDataName="box_office"/>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genres" backgroundRefresh="0" connectionId="6" xr16:uid="{565CD7C0-2EAA-434D-A642-C31FF8030F8E}" autoFormatId="16" applyNumberFormats="0" applyBorderFormats="0" applyFontFormats="0" applyPatternFormats="0" applyAlignmentFormats="0" applyWidthHeightFormats="0">
  <queryTableRefresh nextId="4">
    <queryTableFields count="3">
      <queryTableField id="1" name="film" tableColumnId="1"/>
      <queryTableField id="2" name="category" tableColumnId="2"/>
      <queryTableField id="3" name="value" tableColumnId="3"/>
    </queryTableFields>
  </queryTableRefresh>
  <extLst>
    <ext xmlns:x15="http://schemas.microsoft.com/office/spreadsheetml/2010/11/main" uri="{883FBD77-0823-4a55-B5E3-86C4891E6966}">
      <x15:queryTable sourceDataName="genre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pixar_films" backgroundRefresh="0" connectionId="7" xr16:uid="{A12D5C79-1556-45BB-9541-CD6B685A6F5F}" autoFormatId="16" applyNumberFormats="0" applyBorderFormats="0" applyFontFormats="0" applyPatternFormats="0" applyAlignmentFormats="0" applyWidthHeightFormats="0">
  <queryTableRefresh nextId="17" unboundColumnsRight="2">
    <queryTableFields count="12">
      <queryTableField id="1" name="number" tableColumnId="1"/>
      <queryTableField id="2" name="film" tableColumnId="2"/>
      <queryTableField id="3" name="release_date" tableColumnId="3"/>
      <queryTableField id="4" name="run_time" tableColumnId="4"/>
      <queryTableField id="5" name="film_rating" tableColumnId="5"/>
      <queryTableField id="6" name="plot" tableColumnId="6"/>
      <queryTableField id="11" name="release_date (Year)" tableColumnId="11"/>
      <queryTableField id="14" name="release_date (Quarter)" tableColumnId="9"/>
      <queryTableField id="15" name="release_date (Month Index)" tableColumnId="10"/>
      <queryTableField id="16" name="release_date (Month)" tableColumnId="12"/>
      <queryTableField id="12" dataBound="0" tableColumnId="7"/>
      <queryTableField id="13" dataBound="0" tableColumnId="8"/>
    </queryTableFields>
  </queryTableRefresh>
  <extLst>
    <ext xmlns:x15="http://schemas.microsoft.com/office/spreadsheetml/2010/11/main" uri="{883FBD77-0823-4a55-B5E3-86C4891E6966}">
      <x15:queryTable sourceDataName="pixar_film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pixar_people" backgroundRefresh="0" connectionId="8" xr16:uid="{078C8527-C807-456D-9B57-BEAE09AFB5EA}" autoFormatId="16" applyNumberFormats="0" applyBorderFormats="0" applyFontFormats="0" applyPatternFormats="0" applyAlignmentFormats="0" applyWidthHeightFormats="0">
  <queryTableRefresh nextId="4">
    <queryTableFields count="3">
      <queryTableField id="1" name="film" tableColumnId="1"/>
      <queryTableField id="2" name="role_type" tableColumnId="2"/>
      <queryTableField id="3" name="name" tableColumnId="3"/>
    </queryTableFields>
  </queryTableRefresh>
  <extLst>
    <ext xmlns:x15="http://schemas.microsoft.com/office/spreadsheetml/2010/11/main" uri="{883FBD77-0823-4a55-B5E3-86C4891E6966}">
      <x15:queryTable sourceDataName="pixar_people"/>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public_response" backgroundRefresh="0" connectionId="9" xr16:uid="{FF4F0697-EE46-48F5-B04E-1F08DE9B8CEE}" autoFormatId="16" applyNumberFormats="0" applyBorderFormats="0" applyFontFormats="0" applyPatternFormats="0" applyAlignmentFormats="0" applyWidthHeightFormats="0">
  <queryTableRefresh nextId="9">
    <queryTableFields count="8">
      <queryTableField id="1" name="film" tableColumnId="1"/>
      <queryTableField id="2" name="rotten_tomatoes_score" tableColumnId="2"/>
      <queryTableField id="3" name="rotten_tomatoes_counts" tableColumnId="3"/>
      <queryTableField id="4" name="metacritic_score" tableColumnId="4"/>
      <queryTableField id="5" name="metacritic_counts" tableColumnId="5"/>
      <queryTableField id="6" name="cinema_score" tableColumnId="6"/>
      <queryTableField id="7" name="imdb_score" tableColumnId="7"/>
      <queryTableField id="8" name="imdb_counts" tableColumnId="8"/>
    </queryTableFields>
  </queryTableRefresh>
  <extLst>
    <ext xmlns:x15="http://schemas.microsoft.com/office/spreadsheetml/2010/11/main" uri="{883FBD77-0823-4a55-B5E3-86C4891E6966}">
      <x15:queryTable sourceDataName="public_response"/>
    </ext>
  </extLst>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391FDD-16AC-41A2-87E8-1F73D04557AD}" name="Table_academy" displayName="Table_academy" ref="A1:C90" tableType="queryTable" totalsRowShown="0">
  <autoFilter ref="A1:C90" xr:uid="{69391FDD-16AC-41A2-87E8-1F73D04557AD}"/>
  <tableColumns count="3">
    <tableColumn id="1" xr3:uid="{A8D6A010-B664-488C-AA44-2A99CC92280A}" uniqueName="1" name="film" queryTableFieldId="1"/>
    <tableColumn id="2" xr3:uid="{0FCEB78F-EC32-4173-996F-9887EA5B5205}" uniqueName="2" name="award_type" queryTableFieldId="2"/>
    <tableColumn id="3" xr3:uid="{8333097A-B8FB-42D8-9B00-8EFA766B6BE9}" uniqueName="3" name="status" queryTableFieldId="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967CDB-642F-49C8-AEE4-0CE8CC5F3A0E}" name="Table_box_office" displayName="Table_box_office" ref="A1:E29" tableType="queryTable" totalsRowShown="0">
  <autoFilter ref="A1:E29" xr:uid="{0E967CDB-642F-49C8-AEE4-0CE8CC5F3A0E}"/>
  <tableColumns count="5">
    <tableColumn id="1" xr3:uid="{3F2DFFA1-0E47-41DB-80B9-231BD7567AAB}" uniqueName="1" name="film" queryTableFieldId="1"/>
    <tableColumn id="2" xr3:uid="{16F10AFF-88AB-4A22-ABB9-CABB24CE4118}" uniqueName="2" name="budget" queryTableFieldId="2" dataDxfId="4" dataCellStyle="Comma"/>
    <tableColumn id="3" xr3:uid="{A9536CD2-C926-4D55-852C-5AFB80C97D1E}" uniqueName="3" name="box_office_us_canada" queryTableFieldId="3" dataDxfId="3"/>
    <tableColumn id="4" xr3:uid="{C6043A26-1ED3-4455-9C42-BD931080C7B8}" uniqueName="4" name="box_office_other" queryTableFieldId="4"/>
    <tableColumn id="5" xr3:uid="{1CDC41F3-8E1C-497F-A241-2A728780B033}" uniqueName="5" name="box_office_worldwide" queryTableFieldId="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43CABB9-558D-4F4D-9711-A5602A9C6F90}" name="Table_genres" displayName="Table_genres" ref="A1:C205" tableType="queryTable" totalsRowShown="0">
  <autoFilter ref="A1:C205" xr:uid="{743CABB9-558D-4F4D-9711-A5602A9C6F90}"/>
  <tableColumns count="3">
    <tableColumn id="1" xr3:uid="{DDB997DE-D239-4234-9DCA-6301F780F37E}" uniqueName="1" name="film" queryTableFieldId="1"/>
    <tableColumn id="2" xr3:uid="{01D3620E-093E-442B-A339-E0DCE9AB5EED}" uniqueName="2" name="category" queryTableFieldId="2"/>
    <tableColumn id="3" xr3:uid="{EEFA4033-D459-41A2-9C16-C277D2DD90A2}" uniqueName="3" name="value" queryTableFieldId="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93F0DC3-3286-4402-AD9E-F6F3285A671D}" name="Table_pixar_films" displayName="Table_pixar_films" ref="A1:L29" tableType="queryTable" totalsRowShown="0">
  <autoFilter ref="A1:L29" xr:uid="{B93F0DC3-3286-4402-AD9E-F6F3285A671D}"/>
  <tableColumns count="12">
    <tableColumn id="1" xr3:uid="{70E1C809-CD0A-4AB7-92E2-FEF20552BE0B}" uniqueName="1" name="number" queryTableFieldId="1"/>
    <tableColumn id="2" xr3:uid="{E9F98003-7295-49C8-A900-FBF726B38A5E}" uniqueName="2" name="film" queryTableFieldId="2"/>
    <tableColumn id="3" xr3:uid="{5F8C9C98-00DA-4A4B-8CF5-FB3D30DB65C6}" uniqueName="3" name="release_date" queryTableFieldId="3" dataDxfId="2"/>
    <tableColumn id="4" xr3:uid="{E4611ED4-3103-49BC-A09C-23CAF0729E90}" uniqueName="4" name="run_time" queryTableFieldId="4"/>
    <tableColumn id="5" xr3:uid="{63CDED54-8500-4C10-B502-5B159271B5D1}" uniqueName="5" name="film_rating" queryTableFieldId="5"/>
    <tableColumn id="6" xr3:uid="{9FF13D22-A03E-43F3-84F1-955BA63887A1}" uniqueName="6" name="plot" queryTableFieldId="6"/>
    <tableColumn id="11" xr3:uid="{0BCE6A11-199C-4D1F-8054-E1C31F3E20A3}" uniqueName="11" name="release_date (Year)" queryTableFieldId="11"/>
    <tableColumn id="9" xr3:uid="{E1064706-90E1-4595-A191-95A4B82239A9}" uniqueName="9" name="release_date (Quarter)" queryTableFieldId="14"/>
    <tableColumn id="10" xr3:uid="{4C8FEDE9-D2A1-4EC1-9E38-F17393AAB0E0}" uniqueName="10" name="release_date (Month Index)" queryTableFieldId="15"/>
    <tableColumn id="12" xr3:uid="{201BDC1D-E25B-4F55-9D23-C10680A4A50E}" uniqueName="12" name="release_date (Month)" queryTableFieldId="16"/>
    <tableColumn id="7" xr3:uid="{E7F9CDB7-0ECC-4720-AB63-6E167678658F}" uniqueName="7" name="Release Year" queryTableFieldId="12" dataDxfId="1">
      <calculatedColumnFormula xml:space="preserve"> YEAR(Table_pixar_films[[#This Row],[release_date]])</calculatedColumnFormula>
    </tableColumn>
    <tableColumn id="8" xr3:uid="{B6C3BA8E-21CE-4525-B4C3-686B0D16F526}" uniqueName="8" name="5-year grouping" queryTableFieldId="13" dataDxfId="0">
      <calculatedColumnFormula>FLOOR(Table_pixar_films[[#This Row],[Release Year]], 5)</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5024DF0-F6ED-49CD-9404-371A455D9F13}" name="Table_pixar_people" displayName="Table_pixar_people" ref="A1:C261" tableType="queryTable" totalsRowShown="0">
  <autoFilter ref="A1:C261" xr:uid="{15024DF0-F6ED-49CD-9404-371A455D9F13}"/>
  <tableColumns count="3">
    <tableColumn id="1" xr3:uid="{E252524D-D1F3-418C-9D70-DE532541E0E1}" uniqueName="1" name="film" queryTableFieldId="1"/>
    <tableColumn id="2" xr3:uid="{68728891-127C-4F3B-8A2D-59BF55F318D2}" uniqueName="2" name="role_type" queryTableFieldId="2"/>
    <tableColumn id="3" xr3:uid="{A2E912A4-AE67-47F2-8274-E674F73A9B90}" uniqueName="3" name="name" queryTableFieldId="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49C62EB-D094-4359-8119-92D9F3442B12}" name="Table_public_response" displayName="Table_public_response" ref="A1:H29" tableType="queryTable" totalsRowShown="0">
  <autoFilter ref="A1:H29" xr:uid="{449C62EB-D094-4359-8119-92D9F3442B12}"/>
  <tableColumns count="8">
    <tableColumn id="1" xr3:uid="{E1753406-6F53-4660-9DC3-7F493391F9EA}" uniqueName="1" name="film" queryTableFieldId="1"/>
    <tableColumn id="2" xr3:uid="{43CDB329-1B8F-4F21-9A72-CB5FC8FBF971}" uniqueName="2" name="rotten_tomatoes_score" queryTableFieldId="2"/>
    <tableColumn id="3" xr3:uid="{C5C5E480-F21D-4547-90DC-0DA557D00082}" uniqueName="3" name="rotten_tomatoes_counts" queryTableFieldId="3"/>
    <tableColumn id="4" xr3:uid="{F2BFC662-407A-4CA5-A8F1-8A1C5213E091}" uniqueName="4" name="metacritic_score" queryTableFieldId="4"/>
    <tableColumn id="5" xr3:uid="{9D9A2337-2010-446A-834C-A678FC5E4008}" uniqueName="5" name="metacritic_counts" queryTableFieldId="5"/>
    <tableColumn id="6" xr3:uid="{D6790CC8-1327-421B-AF59-3DA6687016E1}" uniqueName="6" name="cinema_score" queryTableFieldId="6"/>
    <tableColumn id="7" xr3:uid="{CBD5ED6C-C052-4FF6-90EB-AC22A524A6D6}" uniqueName="7" name="imdb_score" queryTableFieldId="7"/>
    <tableColumn id="8" xr3:uid="{9B35CDFF-70DD-440A-B87F-5819C5E486CE}" uniqueName="8" name="imdb_counts" queryTableFieldId="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664D4-24BC-404A-8463-45B37CAB3923}">
  <dimension ref="A1:C90"/>
  <sheetViews>
    <sheetView zoomScale="107" workbookViewId="0">
      <selection activeCell="C17" sqref="C17"/>
    </sheetView>
  </sheetViews>
  <sheetFormatPr defaultRowHeight="15" x14ac:dyDescent="0.25"/>
  <cols>
    <col min="1" max="2" width="19" bestFit="1" customWidth="1"/>
    <col min="3" max="3" width="24.5703125" bestFit="1" customWidth="1"/>
  </cols>
  <sheetData>
    <row r="1" spans="1:3" x14ac:dyDescent="0.25">
      <c r="A1" t="s">
        <v>0</v>
      </c>
      <c r="B1" t="s">
        <v>1</v>
      </c>
      <c r="C1" t="s">
        <v>2</v>
      </c>
    </row>
    <row r="2" spans="1:3" x14ac:dyDescent="0.25">
      <c r="A2" t="s">
        <v>3</v>
      </c>
      <c r="B2" t="s">
        <v>4</v>
      </c>
      <c r="C2" t="s">
        <v>5</v>
      </c>
    </row>
    <row r="3" spans="1:3" x14ac:dyDescent="0.25">
      <c r="A3" t="s">
        <v>3</v>
      </c>
      <c r="B3" t="s">
        <v>6</v>
      </c>
      <c r="C3" t="s">
        <v>7</v>
      </c>
    </row>
    <row r="4" spans="1:3" x14ac:dyDescent="0.25">
      <c r="A4" t="s">
        <v>3</v>
      </c>
      <c r="B4" t="s">
        <v>8</v>
      </c>
      <c r="C4" t="s">
        <v>9</v>
      </c>
    </row>
    <row r="5" spans="1:3" x14ac:dyDescent="0.25">
      <c r="A5" t="s">
        <v>3</v>
      </c>
      <c r="B5" t="s">
        <v>10</v>
      </c>
      <c r="C5" t="s">
        <v>7</v>
      </c>
    </row>
    <row r="6" spans="1:3" x14ac:dyDescent="0.25">
      <c r="A6" t="s">
        <v>3</v>
      </c>
      <c r="B6" t="s">
        <v>11</v>
      </c>
      <c r="C6" t="s">
        <v>7</v>
      </c>
    </row>
    <row r="7" spans="1:3" x14ac:dyDescent="0.25">
      <c r="A7" t="s">
        <v>3</v>
      </c>
      <c r="B7" t="s">
        <v>12</v>
      </c>
      <c r="C7" t="s">
        <v>13</v>
      </c>
    </row>
    <row r="8" spans="1:3" x14ac:dyDescent="0.25">
      <c r="A8" t="s">
        <v>14</v>
      </c>
      <c r="B8" t="s">
        <v>4</v>
      </c>
      <c r="C8" t="s">
        <v>5</v>
      </c>
    </row>
    <row r="9" spans="1:3" x14ac:dyDescent="0.25">
      <c r="A9" t="s">
        <v>14</v>
      </c>
      <c r="B9" t="s">
        <v>8</v>
      </c>
      <c r="C9" t="s">
        <v>9</v>
      </c>
    </row>
    <row r="10" spans="1:3" x14ac:dyDescent="0.25">
      <c r="A10" t="s">
        <v>14</v>
      </c>
      <c r="B10" t="s">
        <v>10</v>
      </c>
      <c r="C10" t="s">
        <v>7</v>
      </c>
    </row>
    <row r="11" spans="1:3" x14ac:dyDescent="0.25">
      <c r="A11" t="s">
        <v>15</v>
      </c>
      <c r="B11" t="s">
        <v>4</v>
      </c>
      <c r="C11" t="s">
        <v>5</v>
      </c>
    </row>
    <row r="12" spans="1:3" x14ac:dyDescent="0.25">
      <c r="A12" t="s">
        <v>15</v>
      </c>
      <c r="B12" t="s">
        <v>6</v>
      </c>
      <c r="C12" t="s">
        <v>9</v>
      </c>
    </row>
    <row r="13" spans="1:3" x14ac:dyDescent="0.25">
      <c r="A13" t="s">
        <v>15</v>
      </c>
      <c r="B13" t="s">
        <v>11</v>
      </c>
      <c r="C13" t="s">
        <v>7</v>
      </c>
    </row>
    <row r="14" spans="1:3" x14ac:dyDescent="0.25">
      <c r="A14" t="s">
        <v>16</v>
      </c>
      <c r="B14" t="s">
        <v>4</v>
      </c>
      <c r="C14" t="s">
        <v>7</v>
      </c>
    </row>
    <row r="15" spans="1:3" x14ac:dyDescent="0.25">
      <c r="A15" t="s">
        <v>16</v>
      </c>
      <c r="B15" t="s">
        <v>8</v>
      </c>
      <c r="C15" t="s">
        <v>9</v>
      </c>
    </row>
    <row r="16" spans="1:3" x14ac:dyDescent="0.25">
      <c r="A16" t="s">
        <v>16</v>
      </c>
      <c r="B16" t="s">
        <v>10</v>
      </c>
      <c r="C16" t="s">
        <v>7</v>
      </c>
    </row>
    <row r="17" spans="1:3" x14ac:dyDescent="0.25">
      <c r="A17" t="s">
        <v>16</v>
      </c>
      <c r="B17" t="s">
        <v>11</v>
      </c>
      <c r="C17" t="s">
        <v>17</v>
      </c>
    </row>
    <row r="18" spans="1:3" x14ac:dyDescent="0.25">
      <c r="A18" t="s">
        <v>16</v>
      </c>
      <c r="B18" t="s">
        <v>18</v>
      </c>
      <c r="C18" t="s">
        <v>7</v>
      </c>
    </row>
    <row r="19" spans="1:3" x14ac:dyDescent="0.25">
      <c r="A19" t="s">
        <v>19</v>
      </c>
      <c r="B19" t="s">
        <v>4</v>
      </c>
      <c r="C19" t="s">
        <v>17</v>
      </c>
    </row>
    <row r="20" spans="1:3" x14ac:dyDescent="0.25">
      <c r="A20" t="s">
        <v>19</v>
      </c>
      <c r="B20" t="s">
        <v>6</v>
      </c>
      <c r="C20" t="s">
        <v>7</v>
      </c>
    </row>
    <row r="21" spans="1:3" x14ac:dyDescent="0.25">
      <c r="A21" t="s">
        <v>19</v>
      </c>
      <c r="B21" t="s">
        <v>8</v>
      </c>
      <c r="C21" t="s">
        <v>9</v>
      </c>
    </row>
    <row r="22" spans="1:3" x14ac:dyDescent="0.25">
      <c r="A22" t="s">
        <v>19</v>
      </c>
      <c r="B22" t="s">
        <v>10</v>
      </c>
      <c r="C22" t="s">
        <v>7</v>
      </c>
    </row>
    <row r="23" spans="1:3" x14ac:dyDescent="0.25">
      <c r="A23" t="s">
        <v>19</v>
      </c>
      <c r="B23" t="s">
        <v>18</v>
      </c>
      <c r="C23" t="s">
        <v>7</v>
      </c>
    </row>
    <row r="24" spans="1:3" x14ac:dyDescent="0.25">
      <c r="A24" t="s">
        <v>20</v>
      </c>
      <c r="B24" t="s">
        <v>4</v>
      </c>
      <c r="C24" t="s">
        <v>17</v>
      </c>
    </row>
    <row r="25" spans="1:3" x14ac:dyDescent="0.25">
      <c r="A25" t="s">
        <v>20</v>
      </c>
      <c r="B25" t="s">
        <v>6</v>
      </c>
      <c r="C25" t="s">
        <v>7</v>
      </c>
    </row>
    <row r="26" spans="1:3" x14ac:dyDescent="0.25">
      <c r="A26" t="s">
        <v>20</v>
      </c>
      <c r="B26" t="s">
        <v>8</v>
      </c>
      <c r="C26" t="s">
        <v>9</v>
      </c>
    </row>
    <row r="27" spans="1:3" x14ac:dyDescent="0.25">
      <c r="A27" t="s">
        <v>20</v>
      </c>
      <c r="B27" t="s">
        <v>18</v>
      </c>
      <c r="C27" t="s">
        <v>17</v>
      </c>
    </row>
    <row r="28" spans="1:3" x14ac:dyDescent="0.25">
      <c r="A28" t="s">
        <v>20</v>
      </c>
      <c r="B28" t="s">
        <v>21</v>
      </c>
      <c r="C28" t="s">
        <v>7</v>
      </c>
    </row>
    <row r="29" spans="1:3" x14ac:dyDescent="0.25">
      <c r="A29" t="s">
        <v>22</v>
      </c>
      <c r="B29" t="s">
        <v>4</v>
      </c>
      <c r="C29" t="s">
        <v>7</v>
      </c>
    </row>
    <row r="30" spans="1:3" x14ac:dyDescent="0.25">
      <c r="A30" t="s">
        <v>22</v>
      </c>
      <c r="B30" t="s">
        <v>8</v>
      </c>
      <c r="C30" t="s">
        <v>9</v>
      </c>
    </row>
    <row r="31" spans="1:3" x14ac:dyDescent="0.25">
      <c r="A31" t="s">
        <v>22</v>
      </c>
      <c r="B31" t="s">
        <v>11</v>
      </c>
      <c r="C31" t="s">
        <v>7</v>
      </c>
    </row>
    <row r="32" spans="1:3" x14ac:dyDescent="0.25">
      <c r="A32" t="s">
        <v>23</v>
      </c>
      <c r="B32" t="s">
        <v>4</v>
      </c>
      <c r="C32" t="s">
        <v>17</v>
      </c>
    </row>
    <row r="33" spans="1:3" x14ac:dyDescent="0.25">
      <c r="A33" t="s">
        <v>23</v>
      </c>
      <c r="B33" t="s">
        <v>6</v>
      </c>
      <c r="C33" t="s">
        <v>7</v>
      </c>
    </row>
    <row r="34" spans="1:3" x14ac:dyDescent="0.25">
      <c r="A34" t="s">
        <v>23</v>
      </c>
      <c r="B34" t="s">
        <v>8</v>
      </c>
      <c r="C34" t="s">
        <v>9</v>
      </c>
    </row>
    <row r="35" spans="1:3" x14ac:dyDescent="0.25">
      <c r="A35" t="s">
        <v>23</v>
      </c>
      <c r="B35" t="s">
        <v>10</v>
      </c>
      <c r="C35" t="s">
        <v>7</v>
      </c>
    </row>
    <row r="36" spans="1:3" x14ac:dyDescent="0.25">
      <c r="A36" t="s">
        <v>23</v>
      </c>
      <c r="B36" t="s">
        <v>18</v>
      </c>
      <c r="C36" t="s">
        <v>7</v>
      </c>
    </row>
    <row r="37" spans="1:3" x14ac:dyDescent="0.25">
      <c r="A37" t="s">
        <v>23</v>
      </c>
      <c r="B37" t="s">
        <v>21</v>
      </c>
      <c r="C37" t="s">
        <v>7</v>
      </c>
    </row>
    <row r="38" spans="1:3" x14ac:dyDescent="0.25">
      <c r="A38" t="s">
        <v>24</v>
      </c>
      <c r="B38" t="s">
        <v>4</v>
      </c>
      <c r="C38" t="s">
        <v>17</v>
      </c>
    </row>
    <row r="39" spans="1:3" x14ac:dyDescent="0.25">
      <c r="A39" t="s">
        <v>24</v>
      </c>
      <c r="B39" t="s">
        <v>6</v>
      </c>
      <c r="C39" t="s">
        <v>7</v>
      </c>
    </row>
    <row r="40" spans="1:3" x14ac:dyDescent="0.25">
      <c r="A40" t="s">
        <v>24</v>
      </c>
      <c r="B40" t="s">
        <v>8</v>
      </c>
      <c r="C40" t="s">
        <v>9</v>
      </c>
    </row>
    <row r="41" spans="1:3" x14ac:dyDescent="0.25">
      <c r="A41" t="s">
        <v>24</v>
      </c>
      <c r="B41" t="s">
        <v>10</v>
      </c>
      <c r="C41" t="s">
        <v>7</v>
      </c>
    </row>
    <row r="42" spans="1:3" x14ac:dyDescent="0.25">
      <c r="A42" t="s">
        <v>24</v>
      </c>
      <c r="B42" t="s">
        <v>11</v>
      </c>
      <c r="C42" t="s">
        <v>7</v>
      </c>
    </row>
    <row r="43" spans="1:3" x14ac:dyDescent="0.25">
      <c r="A43" t="s">
        <v>24</v>
      </c>
      <c r="B43" t="s">
        <v>18</v>
      </c>
      <c r="C43" t="s">
        <v>7</v>
      </c>
    </row>
    <row r="44" spans="1:3" x14ac:dyDescent="0.25">
      <c r="A44" t="s">
        <v>24</v>
      </c>
      <c r="B44" t="s">
        <v>21</v>
      </c>
      <c r="C44" t="s">
        <v>7</v>
      </c>
    </row>
    <row r="45" spans="1:3" x14ac:dyDescent="0.25">
      <c r="A45" t="s">
        <v>25</v>
      </c>
      <c r="B45" t="s">
        <v>26</v>
      </c>
      <c r="C45" t="s">
        <v>7</v>
      </c>
    </row>
    <row r="46" spans="1:3" x14ac:dyDescent="0.25">
      <c r="A46" t="s">
        <v>25</v>
      </c>
      <c r="B46" t="s">
        <v>4</v>
      </c>
      <c r="C46" t="s">
        <v>17</v>
      </c>
    </row>
    <row r="47" spans="1:3" x14ac:dyDescent="0.25">
      <c r="A47" t="s">
        <v>25</v>
      </c>
      <c r="B47" t="s">
        <v>6</v>
      </c>
      <c r="C47" t="s">
        <v>7</v>
      </c>
    </row>
    <row r="48" spans="1:3" x14ac:dyDescent="0.25">
      <c r="A48" t="s">
        <v>25</v>
      </c>
      <c r="B48" t="s">
        <v>8</v>
      </c>
      <c r="C48" t="s">
        <v>9</v>
      </c>
    </row>
    <row r="49" spans="1:3" x14ac:dyDescent="0.25">
      <c r="A49" t="s">
        <v>25</v>
      </c>
      <c r="B49" t="s">
        <v>10</v>
      </c>
      <c r="C49" t="s">
        <v>17</v>
      </c>
    </row>
    <row r="50" spans="1:3" x14ac:dyDescent="0.25">
      <c r="A50" t="s">
        <v>25</v>
      </c>
      <c r="B50" t="s">
        <v>18</v>
      </c>
      <c r="C50" t="s">
        <v>7</v>
      </c>
    </row>
    <row r="51" spans="1:3" x14ac:dyDescent="0.25">
      <c r="A51" t="s">
        <v>27</v>
      </c>
      <c r="B51" t="s">
        <v>26</v>
      </c>
      <c r="C51" t="s">
        <v>7</v>
      </c>
    </row>
    <row r="52" spans="1:3" x14ac:dyDescent="0.25">
      <c r="A52" t="s">
        <v>27</v>
      </c>
      <c r="B52" t="s">
        <v>4</v>
      </c>
      <c r="C52" t="s">
        <v>17</v>
      </c>
    </row>
    <row r="53" spans="1:3" x14ac:dyDescent="0.25">
      <c r="A53" t="s">
        <v>27</v>
      </c>
      <c r="B53" t="s">
        <v>6</v>
      </c>
      <c r="C53" t="s">
        <v>9</v>
      </c>
    </row>
    <row r="54" spans="1:3" x14ac:dyDescent="0.25">
      <c r="A54" t="s">
        <v>27</v>
      </c>
      <c r="B54" t="s">
        <v>8</v>
      </c>
      <c r="C54" t="s">
        <v>7</v>
      </c>
    </row>
    <row r="55" spans="1:3" x14ac:dyDescent="0.25">
      <c r="A55" t="s">
        <v>27</v>
      </c>
      <c r="B55" t="s">
        <v>11</v>
      </c>
      <c r="C55" t="s">
        <v>17</v>
      </c>
    </row>
    <row r="56" spans="1:3" x14ac:dyDescent="0.25">
      <c r="A56" t="s">
        <v>27</v>
      </c>
      <c r="B56" t="s">
        <v>18</v>
      </c>
      <c r="C56" t="s">
        <v>7</v>
      </c>
    </row>
    <row r="57" spans="1:3" x14ac:dyDescent="0.25">
      <c r="A57" t="s">
        <v>28</v>
      </c>
      <c r="B57" t="s">
        <v>6</v>
      </c>
      <c r="C57" t="s">
        <v>9</v>
      </c>
    </row>
    <row r="58" spans="1:3" x14ac:dyDescent="0.25">
      <c r="A58" t="s">
        <v>29</v>
      </c>
      <c r="B58" t="s">
        <v>4</v>
      </c>
      <c r="C58" t="s">
        <v>17</v>
      </c>
    </row>
    <row r="59" spans="1:3" x14ac:dyDescent="0.25">
      <c r="A59" t="s">
        <v>29</v>
      </c>
      <c r="B59" t="s">
        <v>8</v>
      </c>
      <c r="C59" t="s">
        <v>9</v>
      </c>
    </row>
    <row r="60" spans="1:3" x14ac:dyDescent="0.25">
      <c r="A60" t="s">
        <v>30</v>
      </c>
      <c r="B60" t="s">
        <v>6</v>
      </c>
      <c r="C60" t="s">
        <v>9</v>
      </c>
    </row>
    <row r="61" spans="1:3" x14ac:dyDescent="0.25">
      <c r="A61" t="s">
        <v>31</v>
      </c>
      <c r="B61" t="s">
        <v>4</v>
      </c>
      <c r="C61" t="s">
        <v>17</v>
      </c>
    </row>
    <row r="62" spans="1:3" x14ac:dyDescent="0.25">
      <c r="A62" t="s">
        <v>31</v>
      </c>
      <c r="B62" t="s">
        <v>6</v>
      </c>
      <c r="C62" t="s">
        <v>7</v>
      </c>
    </row>
    <row r="63" spans="1:3" x14ac:dyDescent="0.25">
      <c r="A63" t="s">
        <v>31</v>
      </c>
      <c r="B63" t="s">
        <v>8</v>
      </c>
      <c r="C63" t="s">
        <v>9</v>
      </c>
    </row>
    <row r="64" spans="1:3" x14ac:dyDescent="0.25">
      <c r="A64" t="s">
        <v>32</v>
      </c>
      <c r="B64" t="s">
        <v>8</v>
      </c>
      <c r="C64" t="s">
        <v>9</v>
      </c>
    </row>
    <row r="65" spans="1:3" x14ac:dyDescent="0.25">
      <c r="A65" t="s">
        <v>33</v>
      </c>
      <c r="B65" t="s">
        <v>6</v>
      </c>
      <c r="C65" t="s">
        <v>9</v>
      </c>
    </row>
    <row r="66" spans="1:3" x14ac:dyDescent="0.25">
      <c r="A66" t="s">
        <v>34</v>
      </c>
      <c r="B66" t="s">
        <v>6</v>
      </c>
      <c r="C66" t="s">
        <v>9</v>
      </c>
    </row>
    <row r="67" spans="1:3" x14ac:dyDescent="0.25">
      <c r="A67" t="s">
        <v>35</v>
      </c>
      <c r="B67" t="s">
        <v>4</v>
      </c>
      <c r="C67" t="s">
        <v>17</v>
      </c>
    </row>
    <row r="68" spans="1:3" x14ac:dyDescent="0.25">
      <c r="A68" t="s">
        <v>35</v>
      </c>
      <c r="B68" t="s">
        <v>8</v>
      </c>
      <c r="C68" t="s">
        <v>9</v>
      </c>
    </row>
    <row r="69" spans="1:3" x14ac:dyDescent="0.25">
      <c r="A69" t="s">
        <v>35</v>
      </c>
      <c r="B69" t="s">
        <v>11</v>
      </c>
      <c r="C69" t="s">
        <v>17</v>
      </c>
    </row>
    <row r="70" spans="1:3" x14ac:dyDescent="0.25">
      <c r="A70" t="s">
        <v>36</v>
      </c>
      <c r="B70" t="s">
        <v>4</v>
      </c>
      <c r="C70" t="s">
        <v>7</v>
      </c>
    </row>
    <row r="71" spans="1:3" x14ac:dyDescent="0.25">
      <c r="A71" t="s">
        <v>36</v>
      </c>
      <c r="B71" t="s">
        <v>6</v>
      </c>
      <c r="C71" t="s">
        <v>9</v>
      </c>
    </row>
    <row r="72" spans="1:3" x14ac:dyDescent="0.25">
      <c r="A72" t="s">
        <v>37</v>
      </c>
      <c r="B72" t="s">
        <v>4</v>
      </c>
      <c r="C72" t="s">
        <v>17</v>
      </c>
    </row>
    <row r="73" spans="1:3" x14ac:dyDescent="0.25">
      <c r="A73" t="s">
        <v>37</v>
      </c>
      <c r="B73" t="s">
        <v>6</v>
      </c>
      <c r="C73" t="s">
        <v>9</v>
      </c>
    </row>
    <row r="74" spans="1:3" x14ac:dyDescent="0.25">
      <c r="A74" t="s">
        <v>37</v>
      </c>
      <c r="B74" t="s">
        <v>11</v>
      </c>
      <c r="C74" t="s">
        <v>7</v>
      </c>
    </row>
    <row r="75" spans="1:3" x14ac:dyDescent="0.25">
      <c r="A75" t="s">
        <v>38</v>
      </c>
      <c r="B75" t="s">
        <v>4</v>
      </c>
      <c r="C75" t="s">
        <v>7</v>
      </c>
    </row>
    <row r="76" spans="1:3" x14ac:dyDescent="0.25">
      <c r="A76" t="s">
        <v>38</v>
      </c>
      <c r="B76" t="s">
        <v>8</v>
      </c>
      <c r="C76" t="s">
        <v>9</v>
      </c>
    </row>
    <row r="77" spans="1:3" x14ac:dyDescent="0.25">
      <c r="A77" t="s">
        <v>39</v>
      </c>
      <c r="B77" t="s">
        <v>4</v>
      </c>
      <c r="C77" t="s">
        <v>17</v>
      </c>
    </row>
    <row r="78" spans="1:3" x14ac:dyDescent="0.25">
      <c r="A78" t="s">
        <v>39</v>
      </c>
      <c r="B78" t="s">
        <v>8</v>
      </c>
      <c r="C78" t="s">
        <v>9</v>
      </c>
    </row>
    <row r="79" spans="1:3" x14ac:dyDescent="0.25">
      <c r="A79" t="s">
        <v>39</v>
      </c>
      <c r="B79" t="s">
        <v>10</v>
      </c>
      <c r="C79" t="s">
        <v>17</v>
      </c>
    </row>
    <row r="80" spans="1:3" x14ac:dyDescent="0.25">
      <c r="A80" t="s">
        <v>39</v>
      </c>
      <c r="B80" t="s">
        <v>18</v>
      </c>
      <c r="C80" t="s">
        <v>7</v>
      </c>
    </row>
    <row r="81" spans="1:3" x14ac:dyDescent="0.25">
      <c r="A81" t="s">
        <v>39</v>
      </c>
      <c r="B81" t="s">
        <v>21</v>
      </c>
      <c r="C81" t="s">
        <v>7</v>
      </c>
    </row>
    <row r="82" spans="1:3" x14ac:dyDescent="0.25">
      <c r="A82" t="s">
        <v>40</v>
      </c>
      <c r="B82" t="s">
        <v>4</v>
      </c>
      <c r="C82" t="s">
        <v>7</v>
      </c>
    </row>
    <row r="83" spans="1:3" x14ac:dyDescent="0.25">
      <c r="A83" t="s">
        <v>40</v>
      </c>
      <c r="B83" t="s">
        <v>8</v>
      </c>
      <c r="C83" t="s">
        <v>9</v>
      </c>
    </row>
    <row r="84" spans="1:3" x14ac:dyDescent="0.25">
      <c r="A84" t="s">
        <v>41</v>
      </c>
      <c r="B84" t="s">
        <v>4</v>
      </c>
      <c r="C84" t="s">
        <v>7</v>
      </c>
    </row>
    <row r="85" spans="1:3" x14ac:dyDescent="0.25">
      <c r="A85" t="s">
        <v>41</v>
      </c>
      <c r="B85" t="s">
        <v>8</v>
      </c>
      <c r="C85" t="s">
        <v>9</v>
      </c>
    </row>
    <row r="86" spans="1:3" x14ac:dyDescent="0.25">
      <c r="A86" t="s">
        <v>42</v>
      </c>
      <c r="B86" t="s">
        <v>6</v>
      </c>
      <c r="C86" t="s">
        <v>9</v>
      </c>
    </row>
    <row r="87" spans="1:3" x14ac:dyDescent="0.25">
      <c r="A87" t="s">
        <v>43</v>
      </c>
      <c r="B87" t="s">
        <v>4</v>
      </c>
      <c r="C87" t="s">
        <v>7</v>
      </c>
    </row>
    <row r="88" spans="1:3" x14ac:dyDescent="0.25">
      <c r="A88" t="s">
        <v>43</v>
      </c>
      <c r="B88" t="s">
        <v>8</v>
      </c>
      <c r="C88" t="s">
        <v>9</v>
      </c>
    </row>
    <row r="89" spans="1:3" x14ac:dyDescent="0.25">
      <c r="A89" t="s">
        <v>44</v>
      </c>
      <c r="B89" t="s">
        <v>6</v>
      </c>
      <c r="C89" t="s">
        <v>9</v>
      </c>
    </row>
    <row r="90" spans="1:3" x14ac:dyDescent="0.25">
      <c r="A90" t="s">
        <v>44</v>
      </c>
      <c r="B90" t="s">
        <v>4</v>
      </c>
      <c r="C90" t="s">
        <v>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5C04E-4545-441C-A7D6-E9EB4D6E009E}">
  <dimension ref="A1:E29"/>
  <sheetViews>
    <sheetView zoomScale="85" workbookViewId="0">
      <selection activeCell="H20" sqref="H20"/>
    </sheetView>
  </sheetViews>
  <sheetFormatPr defaultRowHeight="15" x14ac:dyDescent="0.25"/>
  <cols>
    <col min="1" max="1" width="19" bestFit="1" customWidth="1"/>
    <col min="2" max="2" width="23.7109375" style="2" customWidth="1"/>
    <col min="3" max="3" width="23.140625" style="6" bestFit="1" customWidth="1"/>
    <col min="4" max="4" width="18.7109375" bestFit="1" customWidth="1"/>
    <col min="5" max="5" width="23.7109375" bestFit="1" customWidth="1"/>
  </cols>
  <sheetData>
    <row r="1" spans="1:5" x14ac:dyDescent="0.25">
      <c r="A1" t="s">
        <v>0</v>
      </c>
      <c r="B1" s="2" t="s">
        <v>45</v>
      </c>
      <c r="C1" s="6" t="s">
        <v>46</v>
      </c>
      <c r="D1" t="s">
        <v>47</v>
      </c>
      <c r="E1" t="s">
        <v>48</v>
      </c>
    </row>
    <row r="2" spans="1:5" x14ac:dyDescent="0.25">
      <c r="A2" t="s">
        <v>3</v>
      </c>
      <c r="B2" s="2">
        <v>30000000</v>
      </c>
      <c r="C2" s="6">
        <v>223225679</v>
      </c>
      <c r="D2">
        <v>171210907</v>
      </c>
      <c r="E2">
        <v>394436586</v>
      </c>
    </row>
    <row r="3" spans="1:5" x14ac:dyDescent="0.25">
      <c r="A3" t="s">
        <v>14</v>
      </c>
      <c r="B3" s="2">
        <v>120000000</v>
      </c>
      <c r="C3" s="6">
        <v>162798565</v>
      </c>
      <c r="D3">
        <v>200460294</v>
      </c>
      <c r="E3">
        <v>363258859</v>
      </c>
    </row>
    <row r="4" spans="1:5" x14ac:dyDescent="0.25">
      <c r="A4" t="s">
        <v>15</v>
      </c>
      <c r="B4" s="2">
        <v>90000000</v>
      </c>
      <c r="C4" s="6">
        <v>245852179</v>
      </c>
      <c r="D4">
        <v>265506097</v>
      </c>
      <c r="E4">
        <v>511358276</v>
      </c>
    </row>
    <row r="5" spans="1:5" x14ac:dyDescent="0.25">
      <c r="A5" t="s">
        <v>16</v>
      </c>
      <c r="B5" s="2">
        <v>115000000</v>
      </c>
      <c r="C5" s="6">
        <v>255873250</v>
      </c>
      <c r="D5">
        <v>272900000</v>
      </c>
      <c r="E5">
        <v>528773250</v>
      </c>
    </row>
    <row r="6" spans="1:5" x14ac:dyDescent="0.25">
      <c r="A6" t="s">
        <v>19</v>
      </c>
      <c r="B6" s="2">
        <v>94000000</v>
      </c>
      <c r="C6" s="6">
        <v>339714978</v>
      </c>
      <c r="D6">
        <v>531300000</v>
      </c>
      <c r="E6">
        <v>871014978</v>
      </c>
    </row>
    <row r="7" spans="1:5" x14ac:dyDescent="0.25">
      <c r="A7" t="s">
        <v>20</v>
      </c>
      <c r="B7" s="2">
        <v>92000000</v>
      </c>
      <c r="C7" s="6">
        <v>261441092</v>
      </c>
      <c r="D7">
        <v>370001000</v>
      </c>
      <c r="E7">
        <v>631442092</v>
      </c>
    </row>
    <row r="8" spans="1:5" x14ac:dyDescent="0.25">
      <c r="A8" t="s">
        <v>22</v>
      </c>
      <c r="B8" s="2">
        <v>120000000</v>
      </c>
      <c r="C8" s="6">
        <v>244082982</v>
      </c>
      <c r="D8">
        <v>217900167</v>
      </c>
      <c r="E8">
        <v>461983149</v>
      </c>
    </row>
    <row r="9" spans="1:5" x14ac:dyDescent="0.25">
      <c r="A9" t="s">
        <v>23</v>
      </c>
      <c r="B9" s="2">
        <v>150000000</v>
      </c>
      <c r="C9" s="6">
        <v>206445654</v>
      </c>
      <c r="D9">
        <v>417280431</v>
      </c>
      <c r="E9">
        <v>623726085</v>
      </c>
    </row>
    <row r="10" spans="1:5" x14ac:dyDescent="0.25">
      <c r="A10" t="s">
        <v>24</v>
      </c>
      <c r="B10" s="2">
        <v>180000000</v>
      </c>
      <c r="C10" s="6">
        <v>223808164</v>
      </c>
      <c r="D10">
        <v>297503696</v>
      </c>
      <c r="E10">
        <v>521311860</v>
      </c>
    </row>
    <row r="11" spans="1:5" x14ac:dyDescent="0.25">
      <c r="A11" t="s">
        <v>25</v>
      </c>
      <c r="B11" s="2">
        <v>175000000</v>
      </c>
      <c r="C11" s="6">
        <v>293004164</v>
      </c>
      <c r="D11">
        <v>442094918</v>
      </c>
      <c r="E11">
        <v>735099082</v>
      </c>
    </row>
    <row r="12" spans="1:5" x14ac:dyDescent="0.25">
      <c r="A12" t="s">
        <v>27</v>
      </c>
      <c r="B12" s="2">
        <v>200000000</v>
      </c>
      <c r="C12" s="6">
        <v>415004880</v>
      </c>
      <c r="D12">
        <v>651964823</v>
      </c>
      <c r="E12">
        <v>1066969703</v>
      </c>
    </row>
    <row r="13" spans="1:5" x14ac:dyDescent="0.25">
      <c r="A13" t="s">
        <v>28</v>
      </c>
      <c r="B13" s="2">
        <v>200000000</v>
      </c>
      <c r="C13" s="6">
        <v>191452396</v>
      </c>
      <c r="D13">
        <v>368400000</v>
      </c>
      <c r="E13">
        <v>559852396</v>
      </c>
    </row>
    <row r="14" spans="1:5" x14ac:dyDescent="0.25">
      <c r="A14" t="s">
        <v>29</v>
      </c>
      <c r="B14" s="2">
        <v>185000000</v>
      </c>
      <c r="C14" s="6">
        <v>237283207</v>
      </c>
      <c r="D14">
        <v>301700000</v>
      </c>
      <c r="E14">
        <v>538983207</v>
      </c>
    </row>
    <row r="15" spans="1:5" x14ac:dyDescent="0.25">
      <c r="A15" t="s">
        <v>30</v>
      </c>
      <c r="B15" s="2">
        <v>200000000</v>
      </c>
      <c r="C15" s="6">
        <v>268492764</v>
      </c>
      <c r="D15">
        <v>475066843</v>
      </c>
      <c r="E15">
        <v>743559607</v>
      </c>
    </row>
    <row r="16" spans="1:5" x14ac:dyDescent="0.25">
      <c r="A16" t="s">
        <v>31</v>
      </c>
      <c r="B16" s="2">
        <v>175000000</v>
      </c>
      <c r="C16" s="6">
        <v>356461711</v>
      </c>
      <c r="D16">
        <v>501149463</v>
      </c>
      <c r="E16">
        <v>857611174</v>
      </c>
    </row>
    <row r="17" spans="1:5" x14ac:dyDescent="0.25">
      <c r="A17" t="s">
        <v>32</v>
      </c>
      <c r="B17" s="2">
        <v>175000000</v>
      </c>
      <c r="C17" s="6">
        <v>123087120</v>
      </c>
      <c r="D17">
        <v>209120551</v>
      </c>
      <c r="E17">
        <v>332207671</v>
      </c>
    </row>
    <row r="18" spans="1:5" x14ac:dyDescent="0.25">
      <c r="A18" t="s">
        <v>33</v>
      </c>
      <c r="B18" s="2">
        <v>200000000</v>
      </c>
      <c r="C18" s="6">
        <v>486295561</v>
      </c>
      <c r="D18">
        <v>542275328</v>
      </c>
      <c r="E18">
        <v>1028570889</v>
      </c>
    </row>
    <row r="19" spans="1:5" x14ac:dyDescent="0.25">
      <c r="A19" t="s">
        <v>34</v>
      </c>
      <c r="B19" s="2">
        <v>175000000</v>
      </c>
      <c r="C19" s="6">
        <v>152901115</v>
      </c>
      <c r="D19">
        <v>231029541</v>
      </c>
      <c r="E19">
        <v>383930656</v>
      </c>
    </row>
    <row r="20" spans="1:5" x14ac:dyDescent="0.25">
      <c r="A20" t="s">
        <v>35</v>
      </c>
      <c r="B20" s="2">
        <v>175000000</v>
      </c>
      <c r="C20" s="6">
        <v>210460015</v>
      </c>
      <c r="D20">
        <v>604181157</v>
      </c>
      <c r="E20">
        <v>814641172</v>
      </c>
    </row>
    <row r="21" spans="1:5" x14ac:dyDescent="0.25">
      <c r="A21" t="s">
        <v>36</v>
      </c>
      <c r="B21" s="2">
        <v>200000000</v>
      </c>
      <c r="C21" s="6">
        <v>608581744</v>
      </c>
      <c r="D21">
        <v>634223615</v>
      </c>
      <c r="E21">
        <v>1242805359</v>
      </c>
    </row>
    <row r="22" spans="1:5" x14ac:dyDescent="0.25">
      <c r="A22" t="s">
        <v>37</v>
      </c>
      <c r="B22" s="2">
        <v>200000000</v>
      </c>
      <c r="C22" s="6">
        <v>434038008</v>
      </c>
      <c r="D22">
        <v>639356585</v>
      </c>
      <c r="E22">
        <v>1073394593</v>
      </c>
    </row>
    <row r="23" spans="1:5" x14ac:dyDescent="0.25">
      <c r="A23" t="s">
        <v>38</v>
      </c>
      <c r="B23" s="2">
        <v>175000000</v>
      </c>
      <c r="C23" s="6">
        <v>61555145</v>
      </c>
      <c r="D23">
        <v>80384897</v>
      </c>
      <c r="E23">
        <v>141940042</v>
      </c>
    </row>
    <row r="24" spans="1:5" x14ac:dyDescent="0.25">
      <c r="A24" t="s">
        <v>39</v>
      </c>
      <c r="B24" s="2">
        <v>150000000</v>
      </c>
      <c r="C24" s="6">
        <v>946154</v>
      </c>
      <c r="D24">
        <v>120957731</v>
      </c>
      <c r="E24">
        <v>121903885</v>
      </c>
    </row>
    <row r="25" spans="1:5" x14ac:dyDescent="0.25">
      <c r="A25" t="s">
        <v>40</v>
      </c>
      <c r="B25" s="2">
        <v>200000000</v>
      </c>
      <c r="C25" s="6">
        <v>1324302</v>
      </c>
      <c r="D25">
        <v>49788012</v>
      </c>
      <c r="E25">
        <v>51112314</v>
      </c>
    </row>
    <row r="26" spans="1:5" x14ac:dyDescent="0.25">
      <c r="A26" t="s">
        <v>41</v>
      </c>
      <c r="B26" s="2">
        <v>175000000</v>
      </c>
      <c r="C26" s="6">
        <v>1399001</v>
      </c>
      <c r="D26">
        <v>20414357</v>
      </c>
      <c r="E26">
        <v>21813358</v>
      </c>
    </row>
    <row r="27" spans="1:5" x14ac:dyDescent="0.25">
      <c r="A27" t="s">
        <v>42</v>
      </c>
      <c r="B27" s="2">
        <v>200000000</v>
      </c>
      <c r="C27" s="6">
        <v>118307188</v>
      </c>
      <c r="D27">
        <v>108118232</v>
      </c>
      <c r="E27">
        <v>226425420</v>
      </c>
    </row>
    <row r="28" spans="1:5" x14ac:dyDescent="0.25">
      <c r="A28" t="s">
        <v>43</v>
      </c>
      <c r="B28" s="2">
        <v>200000000</v>
      </c>
      <c r="C28" s="6">
        <v>154426697</v>
      </c>
      <c r="D28">
        <v>342017611</v>
      </c>
      <c r="E28">
        <v>496444308</v>
      </c>
    </row>
    <row r="29" spans="1:5" x14ac:dyDescent="0.25">
      <c r="A29" t="s">
        <v>44</v>
      </c>
      <c r="B29" s="2">
        <v>200000000</v>
      </c>
      <c r="C29" s="6">
        <v>652980194</v>
      </c>
      <c r="D29">
        <v>1045050771</v>
      </c>
      <c r="E29">
        <v>1698030965</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A2969-AC48-4602-88C1-7C6F9B57F50B}">
  <dimension ref="A1:C205"/>
  <sheetViews>
    <sheetView workbookViewId="0">
      <selection activeCell="F7" sqref="F7"/>
    </sheetView>
  </sheetViews>
  <sheetFormatPr defaultRowHeight="15" x14ac:dyDescent="0.25"/>
  <cols>
    <col min="1" max="1" width="19" bestFit="1" customWidth="1"/>
    <col min="2" max="2" width="10.85546875" bestFit="1" customWidth="1"/>
    <col min="3" max="3" width="23.28515625" bestFit="1" customWidth="1"/>
  </cols>
  <sheetData>
    <row r="1" spans="1:3" x14ac:dyDescent="0.25">
      <c r="A1" t="s">
        <v>0</v>
      </c>
      <c r="B1" t="s">
        <v>50</v>
      </c>
      <c r="C1" t="s">
        <v>51</v>
      </c>
    </row>
    <row r="2" spans="1:3" x14ac:dyDescent="0.25">
      <c r="A2" t="s">
        <v>3</v>
      </c>
      <c r="B2" t="s">
        <v>52</v>
      </c>
      <c r="C2" t="s">
        <v>53</v>
      </c>
    </row>
    <row r="3" spans="1:3" x14ac:dyDescent="0.25">
      <c r="A3" t="s">
        <v>3</v>
      </c>
      <c r="B3" t="s">
        <v>52</v>
      </c>
      <c r="C3" t="s">
        <v>54</v>
      </c>
    </row>
    <row r="4" spans="1:3" x14ac:dyDescent="0.25">
      <c r="A4" t="s">
        <v>3</v>
      </c>
      <c r="B4" t="s">
        <v>52</v>
      </c>
      <c r="C4" t="s">
        <v>55</v>
      </c>
    </row>
    <row r="5" spans="1:3" x14ac:dyDescent="0.25">
      <c r="A5" t="s">
        <v>3</v>
      </c>
      <c r="B5" t="s">
        <v>56</v>
      </c>
      <c r="C5" t="s">
        <v>57</v>
      </c>
    </row>
    <row r="6" spans="1:3" x14ac:dyDescent="0.25">
      <c r="A6" t="s">
        <v>3</v>
      </c>
      <c r="B6" t="s">
        <v>56</v>
      </c>
      <c r="C6" t="s">
        <v>58</v>
      </c>
    </row>
    <row r="7" spans="1:3" x14ac:dyDescent="0.25">
      <c r="A7" t="s">
        <v>3</v>
      </c>
      <c r="B7" t="s">
        <v>56</v>
      </c>
      <c r="C7" t="s">
        <v>59</v>
      </c>
    </row>
    <row r="8" spans="1:3" x14ac:dyDescent="0.25">
      <c r="A8" t="s">
        <v>3</v>
      </c>
      <c r="B8" t="s">
        <v>56</v>
      </c>
      <c r="C8" t="s">
        <v>60</v>
      </c>
    </row>
    <row r="9" spans="1:3" x14ac:dyDescent="0.25">
      <c r="A9" t="s">
        <v>3</v>
      </c>
      <c r="B9" t="s">
        <v>56</v>
      </c>
      <c r="C9" t="s">
        <v>61</v>
      </c>
    </row>
    <row r="10" spans="1:3" x14ac:dyDescent="0.25">
      <c r="A10" t="s">
        <v>14</v>
      </c>
      <c r="B10" t="s">
        <v>52</v>
      </c>
      <c r="C10" t="s">
        <v>53</v>
      </c>
    </row>
    <row r="11" spans="1:3" x14ac:dyDescent="0.25">
      <c r="A11" t="s">
        <v>14</v>
      </c>
      <c r="B11" t="s">
        <v>52</v>
      </c>
      <c r="C11" t="s">
        <v>54</v>
      </c>
    </row>
    <row r="12" spans="1:3" x14ac:dyDescent="0.25">
      <c r="A12" t="s">
        <v>14</v>
      </c>
      <c r="B12" t="s">
        <v>52</v>
      </c>
      <c r="C12" t="s">
        <v>55</v>
      </c>
    </row>
    <row r="13" spans="1:3" x14ac:dyDescent="0.25">
      <c r="A13" t="s">
        <v>14</v>
      </c>
      <c r="B13" t="s">
        <v>56</v>
      </c>
      <c r="C13" t="s">
        <v>62</v>
      </c>
    </row>
    <row r="14" spans="1:3" x14ac:dyDescent="0.25">
      <c r="A14" t="s">
        <v>14</v>
      </c>
      <c r="B14" t="s">
        <v>56</v>
      </c>
      <c r="C14" t="s">
        <v>58</v>
      </c>
    </row>
    <row r="15" spans="1:3" x14ac:dyDescent="0.25">
      <c r="A15" t="s">
        <v>14</v>
      </c>
      <c r="B15" t="s">
        <v>56</v>
      </c>
      <c r="C15" t="s">
        <v>63</v>
      </c>
    </row>
    <row r="16" spans="1:3" x14ac:dyDescent="0.25">
      <c r="A16" t="s">
        <v>15</v>
      </c>
      <c r="B16" t="s">
        <v>52</v>
      </c>
      <c r="C16" t="s">
        <v>53</v>
      </c>
    </row>
    <row r="17" spans="1:3" x14ac:dyDescent="0.25">
      <c r="A17" t="s">
        <v>15</v>
      </c>
      <c r="B17" t="s">
        <v>52</v>
      </c>
      <c r="C17" t="s">
        <v>54</v>
      </c>
    </row>
    <row r="18" spans="1:3" x14ac:dyDescent="0.25">
      <c r="A18" t="s">
        <v>15</v>
      </c>
      <c r="B18" t="s">
        <v>52</v>
      </c>
      <c r="C18" t="s">
        <v>55</v>
      </c>
    </row>
    <row r="19" spans="1:3" x14ac:dyDescent="0.25">
      <c r="A19" t="s">
        <v>15</v>
      </c>
      <c r="B19" t="s">
        <v>56</v>
      </c>
      <c r="C19" t="s">
        <v>58</v>
      </c>
    </row>
    <row r="20" spans="1:3" x14ac:dyDescent="0.25">
      <c r="A20" t="s">
        <v>15</v>
      </c>
      <c r="B20" t="s">
        <v>56</v>
      </c>
      <c r="C20" t="s">
        <v>59</v>
      </c>
    </row>
    <row r="21" spans="1:3" x14ac:dyDescent="0.25">
      <c r="A21" t="s">
        <v>15</v>
      </c>
      <c r="B21" t="s">
        <v>56</v>
      </c>
      <c r="C21" t="s">
        <v>63</v>
      </c>
    </row>
    <row r="22" spans="1:3" x14ac:dyDescent="0.25">
      <c r="A22" t="s">
        <v>15</v>
      </c>
      <c r="B22" t="s">
        <v>56</v>
      </c>
      <c r="C22" t="s">
        <v>60</v>
      </c>
    </row>
    <row r="23" spans="1:3" x14ac:dyDescent="0.25">
      <c r="A23" t="s">
        <v>15</v>
      </c>
      <c r="B23" t="s">
        <v>56</v>
      </c>
      <c r="C23" t="s">
        <v>61</v>
      </c>
    </row>
    <row r="24" spans="1:3" x14ac:dyDescent="0.25">
      <c r="A24" t="s">
        <v>16</v>
      </c>
      <c r="B24" t="s">
        <v>52</v>
      </c>
      <c r="C24" t="s">
        <v>53</v>
      </c>
    </row>
    <row r="25" spans="1:3" x14ac:dyDescent="0.25">
      <c r="A25" t="s">
        <v>16</v>
      </c>
      <c r="B25" t="s">
        <v>52</v>
      </c>
      <c r="C25" t="s">
        <v>54</v>
      </c>
    </row>
    <row r="26" spans="1:3" x14ac:dyDescent="0.25">
      <c r="A26" t="s">
        <v>16</v>
      </c>
      <c r="B26" t="s">
        <v>52</v>
      </c>
      <c r="C26" t="s">
        <v>55</v>
      </c>
    </row>
    <row r="27" spans="1:3" x14ac:dyDescent="0.25">
      <c r="A27" t="s">
        <v>16</v>
      </c>
      <c r="B27" t="s">
        <v>56</v>
      </c>
      <c r="C27" t="s">
        <v>57</v>
      </c>
    </row>
    <row r="28" spans="1:3" x14ac:dyDescent="0.25">
      <c r="A28" t="s">
        <v>16</v>
      </c>
      <c r="B28" t="s">
        <v>56</v>
      </c>
      <c r="C28" t="s">
        <v>58</v>
      </c>
    </row>
    <row r="29" spans="1:3" x14ac:dyDescent="0.25">
      <c r="A29" t="s">
        <v>16</v>
      </c>
      <c r="B29" t="s">
        <v>56</v>
      </c>
      <c r="C29" t="s">
        <v>59</v>
      </c>
    </row>
    <row r="30" spans="1:3" x14ac:dyDescent="0.25">
      <c r="A30" t="s">
        <v>16</v>
      </c>
      <c r="B30" t="s">
        <v>56</v>
      </c>
      <c r="C30" t="s">
        <v>60</v>
      </c>
    </row>
    <row r="31" spans="1:3" x14ac:dyDescent="0.25">
      <c r="A31" t="s">
        <v>16</v>
      </c>
      <c r="B31" t="s">
        <v>56</v>
      </c>
      <c r="C31" t="s">
        <v>61</v>
      </c>
    </row>
    <row r="32" spans="1:3" x14ac:dyDescent="0.25">
      <c r="A32" t="s">
        <v>19</v>
      </c>
      <c r="B32" t="s">
        <v>52</v>
      </c>
      <c r="C32" t="s">
        <v>53</v>
      </c>
    </row>
    <row r="33" spans="1:3" x14ac:dyDescent="0.25">
      <c r="A33" t="s">
        <v>19</v>
      </c>
      <c r="B33" t="s">
        <v>52</v>
      </c>
      <c r="C33" t="s">
        <v>54</v>
      </c>
    </row>
    <row r="34" spans="1:3" x14ac:dyDescent="0.25">
      <c r="A34" t="s">
        <v>19</v>
      </c>
      <c r="B34" t="s">
        <v>52</v>
      </c>
      <c r="C34" t="s">
        <v>55</v>
      </c>
    </row>
    <row r="35" spans="1:3" x14ac:dyDescent="0.25">
      <c r="A35" t="s">
        <v>19</v>
      </c>
      <c r="B35" t="s">
        <v>56</v>
      </c>
      <c r="C35" t="s">
        <v>62</v>
      </c>
    </row>
    <row r="36" spans="1:3" x14ac:dyDescent="0.25">
      <c r="A36" t="s">
        <v>19</v>
      </c>
      <c r="B36" t="s">
        <v>56</v>
      </c>
      <c r="C36" t="s">
        <v>57</v>
      </c>
    </row>
    <row r="37" spans="1:3" x14ac:dyDescent="0.25">
      <c r="A37" t="s">
        <v>19</v>
      </c>
      <c r="B37" t="s">
        <v>56</v>
      </c>
      <c r="C37" t="s">
        <v>58</v>
      </c>
    </row>
    <row r="38" spans="1:3" x14ac:dyDescent="0.25">
      <c r="A38" t="s">
        <v>19</v>
      </c>
      <c r="B38" t="s">
        <v>56</v>
      </c>
      <c r="C38" t="s">
        <v>63</v>
      </c>
    </row>
    <row r="39" spans="1:3" x14ac:dyDescent="0.25">
      <c r="A39" t="s">
        <v>19</v>
      </c>
      <c r="B39" t="s">
        <v>56</v>
      </c>
      <c r="C39" t="s">
        <v>64</v>
      </c>
    </row>
    <row r="40" spans="1:3" x14ac:dyDescent="0.25">
      <c r="A40" t="s">
        <v>20</v>
      </c>
      <c r="B40" t="s">
        <v>52</v>
      </c>
      <c r="C40" t="s">
        <v>65</v>
      </c>
    </row>
    <row r="41" spans="1:3" x14ac:dyDescent="0.25">
      <c r="A41" t="s">
        <v>20</v>
      </c>
      <c r="B41" t="s">
        <v>52</v>
      </c>
      <c r="C41" t="s">
        <v>53</v>
      </c>
    </row>
    <row r="42" spans="1:3" x14ac:dyDescent="0.25">
      <c r="A42" t="s">
        <v>20</v>
      </c>
      <c r="B42" t="s">
        <v>52</v>
      </c>
      <c r="C42" t="s">
        <v>54</v>
      </c>
    </row>
    <row r="43" spans="1:3" x14ac:dyDescent="0.25">
      <c r="A43" t="s">
        <v>20</v>
      </c>
      <c r="B43" t="s">
        <v>56</v>
      </c>
      <c r="C43" t="s">
        <v>58</v>
      </c>
    </row>
    <row r="44" spans="1:3" x14ac:dyDescent="0.25">
      <c r="A44" t="s">
        <v>20</v>
      </c>
      <c r="B44" t="s">
        <v>56</v>
      </c>
      <c r="C44" t="s">
        <v>66</v>
      </c>
    </row>
    <row r="45" spans="1:3" x14ac:dyDescent="0.25">
      <c r="A45" t="s">
        <v>20</v>
      </c>
      <c r="B45" t="s">
        <v>56</v>
      </c>
      <c r="C45" t="s">
        <v>61</v>
      </c>
    </row>
    <row r="46" spans="1:3" x14ac:dyDescent="0.25">
      <c r="A46" t="s">
        <v>22</v>
      </c>
      <c r="B46" t="s">
        <v>52</v>
      </c>
      <c r="C46" t="s">
        <v>53</v>
      </c>
    </row>
    <row r="47" spans="1:3" x14ac:dyDescent="0.25">
      <c r="A47" t="s">
        <v>22</v>
      </c>
      <c r="B47" t="s">
        <v>52</v>
      </c>
      <c r="C47" t="s">
        <v>54</v>
      </c>
    </row>
    <row r="48" spans="1:3" x14ac:dyDescent="0.25">
      <c r="A48" t="s">
        <v>22</v>
      </c>
      <c r="B48" t="s">
        <v>52</v>
      </c>
      <c r="C48" t="s">
        <v>55</v>
      </c>
    </row>
    <row r="49" spans="1:3" x14ac:dyDescent="0.25">
      <c r="A49" t="s">
        <v>22</v>
      </c>
      <c r="B49" t="s">
        <v>56</v>
      </c>
      <c r="C49" t="s">
        <v>58</v>
      </c>
    </row>
    <row r="50" spans="1:3" x14ac:dyDescent="0.25">
      <c r="A50" t="s">
        <v>22</v>
      </c>
      <c r="B50" t="s">
        <v>56</v>
      </c>
      <c r="C50" t="s">
        <v>67</v>
      </c>
    </row>
    <row r="51" spans="1:3" x14ac:dyDescent="0.25">
      <c r="A51" t="s">
        <v>22</v>
      </c>
      <c r="B51" t="s">
        <v>56</v>
      </c>
      <c r="C51" t="s">
        <v>68</v>
      </c>
    </row>
    <row r="52" spans="1:3" x14ac:dyDescent="0.25">
      <c r="A52" t="s">
        <v>23</v>
      </c>
      <c r="B52" t="s">
        <v>52</v>
      </c>
      <c r="C52" t="s">
        <v>53</v>
      </c>
    </row>
    <row r="53" spans="1:3" x14ac:dyDescent="0.25">
      <c r="A53" t="s">
        <v>23</v>
      </c>
      <c r="B53" t="s">
        <v>52</v>
      </c>
      <c r="C53" t="s">
        <v>54</v>
      </c>
    </row>
    <row r="54" spans="1:3" x14ac:dyDescent="0.25">
      <c r="A54" t="s">
        <v>23</v>
      </c>
      <c r="B54" t="s">
        <v>52</v>
      </c>
      <c r="C54" t="s">
        <v>55</v>
      </c>
    </row>
    <row r="55" spans="1:3" x14ac:dyDescent="0.25">
      <c r="A55" t="s">
        <v>23</v>
      </c>
      <c r="B55" t="s">
        <v>56</v>
      </c>
      <c r="C55" t="s">
        <v>62</v>
      </c>
    </row>
    <row r="56" spans="1:3" x14ac:dyDescent="0.25">
      <c r="A56" t="s">
        <v>23</v>
      </c>
      <c r="B56" t="s">
        <v>56</v>
      </c>
      <c r="C56" t="s">
        <v>58</v>
      </c>
    </row>
    <row r="57" spans="1:3" x14ac:dyDescent="0.25">
      <c r="A57" t="s">
        <v>23</v>
      </c>
      <c r="B57" t="s">
        <v>56</v>
      </c>
      <c r="C57" t="s">
        <v>59</v>
      </c>
    </row>
    <row r="58" spans="1:3" x14ac:dyDescent="0.25">
      <c r="A58" t="s">
        <v>24</v>
      </c>
      <c r="B58" t="s">
        <v>52</v>
      </c>
      <c r="C58" t="s">
        <v>53</v>
      </c>
    </row>
    <row r="59" spans="1:3" x14ac:dyDescent="0.25">
      <c r="A59" t="s">
        <v>24</v>
      </c>
      <c r="B59" t="s">
        <v>52</v>
      </c>
      <c r="C59" t="s">
        <v>54</v>
      </c>
    </row>
    <row r="60" spans="1:3" x14ac:dyDescent="0.25">
      <c r="A60" t="s">
        <v>24</v>
      </c>
      <c r="B60" t="s">
        <v>52</v>
      </c>
      <c r="C60" t="s">
        <v>69</v>
      </c>
    </row>
    <row r="61" spans="1:3" x14ac:dyDescent="0.25">
      <c r="A61" t="s">
        <v>24</v>
      </c>
      <c r="B61" t="s">
        <v>56</v>
      </c>
      <c r="C61" t="s">
        <v>70</v>
      </c>
    </row>
    <row r="62" spans="1:3" x14ac:dyDescent="0.25">
      <c r="A62" t="s">
        <v>24</v>
      </c>
      <c r="B62" t="s">
        <v>56</v>
      </c>
      <c r="C62" t="s">
        <v>71</v>
      </c>
    </row>
    <row r="63" spans="1:3" x14ac:dyDescent="0.25">
      <c r="A63" t="s">
        <v>24</v>
      </c>
      <c r="B63" t="s">
        <v>56</v>
      </c>
      <c r="C63" t="s">
        <v>58</v>
      </c>
    </row>
    <row r="64" spans="1:3" x14ac:dyDescent="0.25">
      <c r="A64" t="s">
        <v>24</v>
      </c>
      <c r="B64" t="s">
        <v>56</v>
      </c>
      <c r="C64" t="s">
        <v>72</v>
      </c>
    </row>
    <row r="65" spans="1:3" x14ac:dyDescent="0.25">
      <c r="A65" t="s">
        <v>24</v>
      </c>
      <c r="B65" t="s">
        <v>56</v>
      </c>
      <c r="C65" t="s">
        <v>73</v>
      </c>
    </row>
    <row r="66" spans="1:3" x14ac:dyDescent="0.25">
      <c r="A66" t="s">
        <v>24</v>
      </c>
      <c r="B66" t="s">
        <v>56</v>
      </c>
      <c r="C66" t="s">
        <v>74</v>
      </c>
    </row>
    <row r="67" spans="1:3" x14ac:dyDescent="0.25">
      <c r="A67" t="s">
        <v>25</v>
      </c>
      <c r="B67" t="s">
        <v>52</v>
      </c>
      <c r="C67" t="s">
        <v>53</v>
      </c>
    </row>
    <row r="68" spans="1:3" x14ac:dyDescent="0.25">
      <c r="A68" t="s">
        <v>25</v>
      </c>
      <c r="B68" t="s">
        <v>52</v>
      </c>
      <c r="C68" t="s">
        <v>54</v>
      </c>
    </row>
    <row r="69" spans="1:3" x14ac:dyDescent="0.25">
      <c r="A69" t="s">
        <v>25</v>
      </c>
      <c r="B69" t="s">
        <v>52</v>
      </c>
      <c r="C69" t="s">
        <v>55</v>
      </c>
    </row>
    <row r="70" spans="1:3" x14ac:dyDescent="0.25">
      <c r="A70" t="s">
        <v>25</v>
      </c>
      <c r="B70" t="s">
        <v>56</v>
      </c>
      <c r="C70" t="s">
        <v>75</v>
      </c>
    </row>
    <row r="71" spans="1:3" x14ac:dyDescent="0.25">
      <c r="A71" t="s">
        <v>25</v>
      </c>
      <c r="B71" t="s">
        <v>56</v>
      </c>
      <c r="C71" t="s">
        <v>58</v>
      </c>
    </row>
    <row r="72" spans="1:3" x14ac:dyDescent="0.25">
      <c r="A72" t="s">
        <v>25</v>
      </c>
      <c r="B72" t="s">
        <v>56</v>
      </c>
      <c r="C72" t="s">
        <v>76</v>
      </c>
    </row>
    <row r="73" spans="1:3" x14ac:dyDescent="0.25">
      <c r="A73" t="s">
        <v>27</v>
      </c>
      <c r="B73" t="s">
        <v>52</v>
      </c>
      <c r="C73" t="s">
        <v>53</v>
      </c>
    </row>
    <row r="74" spans="1:3" x14ac:dyDescent="0.25">
      <c r="A74" t="s">
        <v>27</v>
      </c>
      <c r="B74" t="s">
        <v>52</v>
      </c>
      <c r="C74" t="s">
        <v>54</v>
      </c>
    </row>
    <row r="75" spans="1:3" x14ac:dyDescent="0.25">
      <c r="A75" t="s">
        <v>27</v>
      </c>
      <c r="B75" t="s">
        <v>52</v>
      </c>
      <c r="C75" t="s">
        <v>55</v>
      </c>
    </row>
    <row r="76" spans="1:3" x14ac:dyDescent="0.25">
      <c r="A76" t="s">
        <v>27</v>
      </c>
      <c r="B76" t="s">
        <v>56</v>
      </c>
      <c r="C76" t="s">
        <v>58</v>
      </c>
    </row>
    <row r="77" spans="1:3" x14ac:dyDescent="0.25">
      <c r="A77" t="s">
        <v>27</v>
      </c>
      <c r="B77" t="s">
        <v>56</v>
      </c>
      <c r="C77" t="s">
        <v>59</v>
      </c>
    </row>
    <row r="78" spans="1:3" x14ac:dyDescent="0.25">
      <c r="A78" t="s">
        <v>27</v>
      </c>
      <c r="B78" t="s">
        <v>56</v>
      </c>
      <c r="C78" t="s">
        <v>60</v>
      </c>
    </row>
    <row r="79" spans="1:3" x14ac:dyDescent="0.25">
      <c r="A79" t="s">
        <v>27</v>
      </c>
      <c r="B79" t="s">
        <v>56</v>
      </c>
      <c r="C79" t="s">
        <v>61</v>
      </c>
    </row>
    <row r="80" spans="1:3" x14ac:dyDescent="0.25">
      <c r="A80" t="s">
        <v>28</v>
      </c>
      <c r="B80" t="s">
        <v>52</v>
      </c>
      <c r="C80" t="s">
        <v>53</v>
      </c>
    </row>
    <row r="81" spans="1:3" x14ac:dyDescent="0.25">
      <c r="A81" t="s">
        <v>28</v>
      </c>
      <c r="B81" t="s">
        <v>52</v>
      </c>
      <c r="C81" t="s">
        <v>54</v>
      </c>
    </row>
    <row r="82" spans="1:3" x14ac:dyDescent="0.25">
      <c r="A82" t="s">
        <v>28</v>
      </c>
      <c r="B82" t="s">
        <v>52</v>
      </c>
      <c r="C82" t="s">
        <v>55</v>
      </c>
    </row>
    <row r="83" spans="1:3" x14ac:dyDescent="0.25">
      <c r="A83" t="s">
        <v>28</v>
      </c>
      <c r="B83" t="s">
        <v>56</v>
      </c>
      <c r="C83" t="s">
        <v>77</v>
      </c>
    </row>
    <row r="84" spans="1:3" x14ac:dyDescent="0.25">
      <c r="A84" t="s">
        <v>28</v>
      </c>
      <c r="B84" t="s">
        <v>56</v>
      </c>
      <c r="C84" t="s">
        <v>58</v>
      </c>
    </row>
    <row r="85" spans="1:3" x14ac:dyDescent="0.25">
      <c r="A85" t="s">
        <v>28</v>
      </c>
      <c r="B85" t="s">
        <v>56</v>
      </c>
      <c r="C85" t="s">
        <v>78</v>
      </c>
    </row>
    <row r="86" spans="1:3" x14ac:dyDescent="0.25">
      <c r="A86" t="s">
        <v>28</v>
      </c>
      <c r="B86" t="s">
        <v>56</v>
      </c>
      <c r="C86" t="s">
        <v>67</v>
      </c>
    </row>
    <row r="87" spans="1:3" x14ac:dyDescent="0.25">
      <c r="A87" t="s">
        <v>28</v>
      </c>
      <c r="B87" t="s">
        <v>56</v>
      </c>
      <c r="C87" t="s">
        <v>68</v>
      </c>
    </row>
    <row r="88" spans="1:3" x14ac:dyDescent="0.25">
      <c r="A88" t="s">
        <v>28</v>
      </c>
      <c r="B88" t="s">
        <v>56</v>
      </c>
      <c r="C88" t="s">
        <v>79</v>
      </c>
    </row>
    <row r="89" spans="1:3" x14ac:dyDescent="0.25">
      <c r="A89" t="s">
        <v>29</v>
      </c>
      <c r="B89" t="s">
        <v>52</v>
      </c>
      <c r="C89" t="s">
        <v>65</v>
      </c>
    </row>
    <row r="90" spans="1:3" x14ac:dyDescent="0.25">
      <c r="A90" t="s">
        <v>29</v>
      </c>
      <c r="B90" t="s">
        <v>52</v>
      </c>
      <c r="C90" t="s">
        <v>53</v>
      </c>
    </row>
    <row r="91" spans="1:3" x14ac:dyDescent="0.25">
      <c r="A91" t="s">
        <v>29</v>
      </c>
      <c r="B91" t="s">
        <v>52</v>
      </c>
      <c r="C91" t="s">
        <v>54</v>
      </c>
    </row>
    <row r="92" spans="1:3" x14ac:dyDescent="0.25">
      <c r="A92" t="s">
        <v>29</v>
      </c>
      <c r="B92" t="s">
        <v>56</v>
      </c>
      <c r="C92" t="s">
        <v>75</v>
      </c>
    </row>
    <row r="93" spans="1:3" x14ac:dyDescent="0.25">
      <c r="A93" t="s">
        <v>29</v>
      </c>
      <c r="B93" t="s">
        <v>56</v>
      </c>
      <c r="C93" t="s">
        <v>58</v>
      </c>
    </row>
    <row r="94" spans="1:3" x14ac:dyDescent="0.25">
      <c r="A94" t="s">
        <v>29</v>
      </c>
      <c r="B94" t="s">
        <v>56</v>
      </c>
      <c r="C94" t="s">
        <v>80</v>
      </c>
    </row>
    <row r="95" spans="1:3" x14ac:dyDescent="0.25">
      <c r="A95" t="s">
        <v>29</v>
      </c>
      <c r="B95" t="s">
        <v>56</v>
      </c>
      <c r="C95" t="s">
        <v>63</v>
      </c>
    </row>
    <row r="96" spans="1:3" x14ac:dyDescent="0.25">
      <c r="A96" t="s">
        <v>29</v>
      </c>
      <c r="B96" t="s">
        <v>56</v>
      </c>
      <c r="C96" t="s">
        <v>81</v>
      </c>
    </row>
    <row r="97" spans="1:3" x14ac:dyDescent="0.25">
      <c r="A97" t="s">
        <v>29</v>
      </c>
      <c r="B97" t="s">
        <v>56</v>
      </c>
      <c r="C97" t="s">
        <v>82</v>
      </c>
    </row>
    <row r="98" spans="1:3" x14ac:dyDescent="0.25">
      <c r="A98" t="s">
        <v>30</v>
      </c>
      <c r="B98" t="s">
        <v>52</v>
      </c>
      <c r="C98" t="s">
        <v>53</v>
      </c>
    </row>
    <row r="99" spans="1:3" x14ac:dyDescent="0.25">
      <c r="A99" t="s">
        <v>30</v>
      </c>
      <c r="B99" t="s">
        <v>52</v>
      </c>
      <c r="C99" t="s">
        <v>54</v>
      </c>
    </row>
    <row r="100" spans="1:3" x14ac:dyDescent="0.25">
      <c r="A100" t="s">
        <v>30</v>
      </c>
      <c r="B100" t="s">
        <v>52</v>
      </c>
      <c r="C100" t="s">
        <v>55</v>
      </c>
    </row>
    <row r="101" spans="1:3" x14ac:dyDescent="0.25">
      <c r="A101" t="s">
        <v>30</v>
      </c>
      <c r="B101" t="s">
        <v>56</v>
      </c>
      <c r="C101" t="s">
        <v>58</v>
      </c>
    </row>
    <row r="102" spans="1:3" x14ac:dyDescent="0.25">
      <c r="A102" t="s">
        <v>30</v>
      </c>
      <c r="B102" t="s">
        <v>56</v>
      </c>
      <c r="C102" t="s">
        <v>59</v>
      </c>
    </row>
    <row r="103" spans="1:3" x14ac:dyDescent="0.25">
      <c r="A103" t="s">
        <v>31</v>
      </c>
      <c r="B103" t="s">
        <v>52</v>
      </c>
      <c r="C103" t="s">
        <v>53</v>
      </c>
    </row>
    <row r="104" spans="1:3" x14ac:dyDescent="0.25">
      <c r="A104" t="s">
        <v>31</v>
      </c>
      <c r="B104" t="s">
        <v>52</v>
      </c>
      <c r="C104" t="s">
        <v>54</v>
      </c>
    </row>
    <row r="105" spans="1:3" x14ac:dyDescent="0.25">
      <c r="A105" t="s">
        <v>31</v>
      </c>
      <c r="B105" t="s">
        <v>52</v>
      </c>
      <c r="C105" t="s">
        <v>55</v>
      </c>
    </row>
    <row r="106" spans="1:3" x14ac:dyDescent="0.25">
      <c r="A106" t="s">
        <v>31</v>
      </c>
      <c r="B106" t="s">
        <v>56</v>
      </c>
      <c r="C106" t="s">
        <v>75</v>
      </c>
    </row>
    <row r="107" spans="1:3" x14ac:dyDescent="0.25">
      <c r="A107" t="s">
        <v>31</v>
      </c>
      <c r="B107" t="s">
        <v>56</v>
      </c>
      <c r="C107" t="s">
        <v>58</v>
      </c>
    </row>
    <row r="108" spans="1:3" x14ac:dyDescent="0.25">
      <c r="A108" t="s">
        <v>31</v>
      </c>
      <c r="B108" t="s">
        <v>56</v>
      </c>
      <c r="C108" t="s">
        <v>59</v>
      </c>
    </row>
    <row r="109" spans="1:3" x14ac:dyDescent="0.25">
      <c r="A109" t="s">
        <v>32</v>
      </c>
      <c r="B109" t="s">
        <v>52</v>
      </c>
      <c r="C109" t="s">
        <v>65</v>
      </c>
    </row>
    <row r="110" spans="1:3" x14ac:dyDescent="0.25">
      <c r="A110" t="s">
        <v>32</v>
      </c>
      <c r="B110" t="s">
        <v>52</v>
      </c>
      <c r="C110" t="s">
        <v>53</v>
      </c>
    </row>
    <row r="111" spans="1:3" x14ac:dyDescent="0.25">
      <c r="A111" t="s">
        <v>32</v>
      </c>
      <c r="B111" t="s">
        <v>52</v>
      </c>
      <c r="C111" t="s">
        <v>54</v>
      </c>
    </row>
    <row r="112" spans="1:3" x14ac:dyDescent="0.25">
      <c r="A112" t="s">
        <v>32</v>
      </c>
      <c r="B112" t="s">
        <v>56</v>
      </c>
      <c r="C112" t="s">
        <v>62</v>
      </c>
    </row>
    <row r="113" spans="1:3" x14ac:dyDescent="0.25">
      <c r="A113" t="s">
        <v>32</v>
      </c>
      <c r="B113" t="s">
        <v>56</v>
      </c>
      <c r="C113" t="s">
        <v>57</v>
      </c>
    </row>
    <row r="114" spans="1:3" x14ac:dyDescent="0.25">
      <c r="A114" t="s">
        <v>32</v>
      </c>
      <c r="B114" t="s">
        <v>56</v>
      </c>
      <c r="C114" t="s">
        <v>58</v>
      </c>
    </row>
    <row r="115" spans="1:3" x14ac:dyDescent="0.25">
      <c r="A115" t="s">
        <v>32</v>
      </c>
      <c r="B115" t="s">
        <v>56</v>
      </c>
      <c r="C115" t="s">
        <v>83</v>
      </c>
    </row>
    <row r="116" spans="1:3" x14ac:dyDescent="0.25">
      <c r="A116" t="s">
        <v>33</v>
      </c>
      <c r="B116" t="s">
        <v>52</v>
      </c>
      <c r="C116" t="s">
        <v>53</v>
      </c>
    </row>
    <row r="117" spans="1:3" x14ac:dyDescent="0.25">
      <c r="A117" t="s">
        <v>33</v>
      </c>
      <c r="B117" t="s">
        <v>52</v>
      </c>
      <c r="C117" t="s">
        <v>54</v>
      </c>
    </row>
    <row r="118" spans="1:3" x14ac:dyDescent="0.25">
      <c r="A118" t="s">
        <v>33</v>
      </c>
      <c r="B118" t="s">
        <v>52</v>
      </c>
      <c r="C118" t="s">
        <v>55</v>
      </c>
    </row>
    <row r="119" spans="1:3" x14ac:dyDescent="0.25">
      <c r="A119" t="s">
        <v>33</v>
      </c>
      <c r="B119" t="s">
        <v>56</v>
      </c>
      <c r="C119" t="s">
        <v>62</v>
      </c>
    </row>
    <row r="120" spans="1:3" x14ac:dyDescent="0.25">
      <c r="A120" t="s">
        <v>33</v>
      </c>
      <c r="B120" t="s">
        <v>56</v>
      </c>
      <c r="C120" t="s">
        <v>58</v>
      </c>
    </row>
    <row r="121" spans="1:3" x14ac:dyDescent="0.25">
      <c r="A121" t="s">
        <v>33</v>
      </c>
      <c r="B121" t="s">
        <v>56</v>
      </c>
      <c r="C121" t="s">
        <v>59</v>
      </c>
    </row>
    <row r="122" spans="1:3" x14ac:dyDescent="0.25">
      <c r="A122" t="s">
        <v>33</v>
      </c>
      <c r="B122" t="s">
        <v>56</v>
      </c>
      <c r="C122" t="s">
        <v>64</v>
      </c>
    </row>
    <row r="123" spans="1:3" x14ac:dyDescent="0.25">
      <c r="A123" t="s">
        <v>34</v>
      </c>
      <c r="B123" t="s">
        <v>52</v>
      </c>
      <c r="C123" t="s">
        <v>53</v>
      </c>
    </row>
    <row r="124" spans="1:3" x14ac:dyDescent="0.25">
      <c r="A124" t="s">
        <v>34</v>
      </c>
      <c r="B124" t="s">
        <v>52</v>
      </c>
      <c r="C124" t="s">
        <v>54</v>
      </c>
    </row>
    <row r="125" spans="1:3" x14ac:dyDescent="0.25">
      <c r="A125" t="s">
        <v>34</v>
      </c>
      <c r="B125" t="s">
        <v>52</v>
      </c>
      <c r="C125" t="s">
        <v>55</v>
      </c>
    </row>
    <row r="126" spans="1:3" x14ac:dyDescent="0.25">
      <c r="A126" t="s">
        <v>34</v>
      </c>
      <c r="B126" t="s">
        <v>56</v>
      </c>
      <c r="C126" t="s">
        <v>77</v>
      </c>
    </row>
    <row r="127" spans="1:3" x14ac:dyDescent="0.25">
      <c r="A127" t="s">
        <v>34</v>
      </c>
      <c r="B127" t="s">
        <v>56</v>
      </c>
      <c r="C127" t="s">
        <v>58</v>
      </c>
    </row>
    <row r="128" spans="1:3" x14ac:dyDescent="0.25">
      <c r="A128" t="s">
        <v>34</v>
      </c>
      <c r="B128" t="s">
        <v>56</v>
      </c>
      <c r="C128" t="s">
        <v>67</v>
      </c>
    </row>
    <row r="129" spans="1:3" x14ac:dyDescent="0.25">
      <c r="A129" t="s">
        <v>34</v>
      </c>
      <c r="B129" t="s">
        <v>56</v>
      </c>
      <c r="C129" t="s">
        <v>68</v>
      </c>
    </row>
    <row r="130" spans="1:3" x14ac:dyDescent="0.25">
      <c r="A130" t="s">
        <v>35</v>
      </c>
      <c r="B130" t="s">
        <v>52</v>
      </c>
      <c r="C130" t="s">
        <v>53</v>
      </c>
    </row>
    <row r="131" spans="1:3" x14ac:dyDescent="0.25">
      <c r="A131" t="s">
        <v>35</v>
      </c>
      <c r="B131" t="s">
        <v>52</v>
      </c>
      <c r="C131" t="s">
        <v>54</v>
      </c>
    </row>
    <row r="132" spans="1:3" x14ac:dyDescent="0.25">
      <c r="A132" t="s">
        <v>35</v>
      </c>
      <c r="B132" t="s">
        <v>52</v>
      </c>
      <c r="C132" t="s">
        <v>84</v>
      </c>
    </row>
    <row r="133" spans="1:3" x14ac:dyDescent="0.25">
      <c r="A133" t="s">
        <v>35</v>
      </c>
      <c r="B133" t="s">
        <v>56</v>
      </c>
      <c r="C133" t="s">
        <v>58</v>
      </c>
    </row>
    <row r="134" spans="1:3" x14ac:dyDescent="0.25">
      <c r="A134" t="s">
        <v>35</v>
      </c>
      <c r="B134" t="s">
        <v>56</v>
      </c>
      <c r="C134" t="s">
        <v>59</v>
      </c>
    </row>
    <row r="135" spans="1:3" x14ac:dyDescent="0.25">
      <c r="A135" t="s">
        <v>35</v>
      </c>
      <c r="B135" t="s">
        <v>56</v>
      </c>
      <c r="C135" t="s">
        <v>85</v>
      </c>
    </row>
    <row r="136" spans="1:3" x14ac:dyDescent="0.25">
      <c r="A136" t="s">
        <v>35</v>
      </c>
      <c r="B136" t="s">
        <v>56</v>
      </c>
      <c r="C136" t="s">
        <v>86</v>
      </c>
    </row>
    <row r="137" spans="1:3" x14ac:dyDescent="0.25">
      <c r="A137" t="s">
        <v>35</v>
      </c>
      <c r="B137" t="s">
        <v>56</v>
      </c>
      <c r="C137" t="s">
        <v>60</v>
      </c>
    </row>
    <row r="138" spans="1:3" x14ac:dyDescent="0.25">
      <c r="A138" t="s">
        <v>36</v>
      </c>
      <c r="B138" t="s">
        <v>52</v>
      </c>
      <c r="C138" t="s">
        <v>65</v>
      </c>
    </row>
    <row r="139" spans="1:3" x14ac:dyDescent="0.25">
      <c r="A139" t="s">
        <v>36</v>
      </c>
      <c r="B139" t="s">
        <v>52</v>
      </c>
      <c r="C139" t="s">
        <v>53</v>
      </c>
    </row>
    <row r="140" spans="1:3" x14ac:dyDescent="0.25">
      <c r="A140" t="s">
        <v>36</v>
      </c>
      <c r="B140" t="s">
        <v>52</v>
      </c>
      <c r="C140" t="s">
        <v>54</v>
      </c>
    </row>
    <row r="141" spans="1:3" x14ac:dyDescent="0.25">
      <c r="A141" t="s">
        <v>36</v>
      </c>
      <c r="B141" t="s">
        <v>56</v>
      </c>
      <c r="C141" t="s">
        <v>58</v>
      </c>
    </row>
    <row r="142" spans="1:3" x14ac:dyDescent="0.25">
      <c r="A142" t="s">
        <v>36</v>
      </c>
      <c r="B142" t="s">
        <v>56</v>
      </c>
      <c r="C142" t="s">
        <v>73</v>
      </c>
    </row>
    <row r="143" spans="1:3" x14ac:dyDescent="0.25">
      <c r="A143" t="s">
        <v>36</v>
      </c>
      <c r="B143" t="s">
        <v>56</v>
      </c>
      <c r="C143" t="s">
        <v>66</v>
      </c>
    </row>
    <row r="144" spans="1:3" x14ac:dyDescent="0.25">
      <c r="A144" t="s">
        <v>36</v>
      </c>
      <c r="B144" t="s">
        <v>56</v>
      </c>
      <c r="C144" t="s">
        <v>61</v>
      </c>
    </row>
    <row r="145" spans="1:3" x14ac:dyDescent="0.25">
      <c r="A145" t="s">
        <v>37</v>
      </c>
      <c r="B145" t="s">
        <v>52</v>
      </c>
      <c r="C145" t="s">
        <v>53</v>
      </c>
    </row>
    <row r="146" spans="1:3" x14ac:dyDescent="0.25">
      <c r="A146" t="s">
        <v>37</v>
      </c>
      <c r="B146" t="s">
        <v>52</v>
      </c>
      <c r="C146" t="s">
        <v>54</v>
      </c>
    </row>
    <row r="147" spans="1:3" x14ac:dyDescent="0.25">
      <c r="A147" t="s">
        <v>37</v>
      </c>
      <c r="B147" t="s">
        <v>52</v>
      </c>
      <c r="C147" t="s">
        <v>55</v>
      </c>
    </row>
    <row r="148" spans="1:3" x14ac:dyDescent="0.25">
      <c r="A148" t="s">
        <v>37</v>
      </c>
      <c r="B148" t="s">
        <v>56</v>
      </c>
      <c r="C148" t="s">
        <v>58</v>
      </c>
    </row>
    <row r="149" spans="1:3" x14ac:dyDescent="0.25">
      <c r="A149" t="s">
        <v>37</v>
      </c>
      <c r="B149" t="s">
        <v>56</v>
      </c>
      <c r="C149" t="s">
        <v>59</v>
      </c>
    </row>
    <row r="150" spans="1:3" x14ac:dyDescent="0.25">
      <c r="A150" t="s">
        <v>37</v>
      </c>
      <c r="B150" t="s">
        <v>56</v>
      </c>
      <c r="C150" t="s">
        <v>87</v>
      </c>
    </row>
    <row r="151" spans="1:3" x14ac:dyDescent="0.25">
      <c r="A151" t="s">
        <v>37</v>
      </c>
      <c r="B151" t="s">
        <v>56</v>
      </c>
      <c r="C151" t="s">
        <v>60</v>
      </c>
    </row>
    <row r="152" spans="1:3" x14ac:dyDescent="0.25">
      <c r="A152" t="s">
        <v>37</v>
      </c>
      <c r="B152" t="s">
        <v>56</v>
      </c>
      <c r="C152" t="s">
        <v>61</v>
      </c>
    </row>
    <row r="153" spans="1:3" x14ac:dyDescent="0.25">
      <c r="A153" t="s">
        <v>38</v>
      </c>
      <c r="B153" t="s">
        <v>52</v>
      </c>
      <c r="C153" t="s">
        <v>53</v>
      </c>
    </row>
    <row r="154" spans="1:3" x14ac:dyDescent="0.25">
      <c r="A154" t="s">
        <v>38</v>
      </c>
      <c r="B154" t="s">
        <v>52</v>
      </c>
      <c r="C154" t="s">
        <v>54</v>
      </c>
    </row>
    <row r="155" spans="1:3" x14ac:dyDescent="0.25">
      <c r="A155" t="s">
        <v>38</v>
      </c>
      <c r="B155" t="s">
        <v>52</v>
      </c>
      <c r="C155" t="s">
        <v>55</v>
      </c>
    </row>
    <row r="156" spans="1:3" x14ac:dyDescent="0.25">
      <c r="A156" t="s">
        <v>38</v>
      </c>
      <c r="B156" t="s">
        <v>56</v>
      </c>
      <c r="C156" t="s">
        <v>58</v>
      </c>
    </row>
    <row r="157" spans="1:3" x14ac:dyDescent="0.25">
      <c r="A157" t="s">
        <v>38</v>
      </c>
      <c r="B157" t="s">
        <v>56</v>
      </c>
      <c r="C157" t="s">
        <v>88</v>
      </c>
    </row>
    <row r="158" spans="1:3" x14ac:dyDescent="0.25">
      <c r="A158" t="s">
        <v>38</v>
      </c>
      <c r="B158" t="s">
        <v>56</v>
      </c>
      <c r="C158" t="s">
        <v>63</v>
      </c>
    </row>
    <row r="159" spans="1:3" x14ac:dyDescent="0.25">
      <c r="A159" t="s">
        <v>38</v>
      </c>
      <c r="B159" t="s">
        <v>56</v>
      </c>
      <c r="C159" t="s">
        <v>60</v>
      </c>
    </row>
    <row r="160" spans="1:3" x14ac:dyDescent="0.25">
      <c r="A160" t="s">
        <v>38</v>
      </c>
      <c r="B160" t="s">
        <v>56</v>
      </c>
      <c r="C160" t="s">
        <v>81</v>
      </c>
    </row>
    <row r="161" spans="1:3" x14ac:dyDescent="0.25">
      <c r="A161" t="s">
        <v>39</v>
      </c>
      <c r="B161" t="s">
        <v>52</v>
      </c>
      <c r="C161" t="s">
        <v>53</v>
      </c>
    </row>
    <row r="162" spans="1:3" x14ac:dyDescent="0.25">
      <c r="A162" t="s">
        <v>39</v>
      </c>
      <c r="B162" t="s">
        <v>52</v>
      </c>
      <c r="C162" t="s">
        <v>54</v>
      </c>
    </row>
    <row r="163" spans="1:3" x14ac:dyDescent="0.25">
      <c r="A163" t="s">
        <v>39</v>
      </c>
      <c r="B163" t="s">
        <v>52</v>
      </c>
      <c r="C163" t="s">
        <v>55</v>
      </c>
    </row>
    <row r="164" spans="1:3" x14ac:dyDescent="0.25">
      <c r="A164" t="s">
        <v>39</v>
      </c>
      <c r="B164" t="s">
        <v>56</v>
      </c>
      <c r="C164" t="s">
        <v>58</v>
      </c>
    </row>
    <row r="165" spans="1:3" x14ac:dyDescent="0.25">
      <c r="A165" t="s">
        <v>39</v>
      </c>
      <c r="B165" t="s">
        <v>56</v>
      </c>
      <c r="C165" t="s">
        <v>59</v>
      </c>
    </row>
    <row r="166" spans="1:3" x14ac:dyDescent="0.25">
      <c r="A166" t="s">
        <v>39</v>
      </c>
      <c r="B166" t="s">
        <v>56</v>
      </c>
      <c r="C166" t="s">
        <v>85</v>
      </c>
    </row>
    <row r="167" spans="1:3" x14ac:dyDescent="0.25">
      <c r="A167" t="s">
        <v>40</v>
      </c>
      <c r="B167" t="s">
        <v>52</v>
      </c>
      <c r="C167" t="s">
        <v>53</v>
      </c>
    </row>
    <row r="168" spans="1:3" x14ac:dyDescent="0.25">
      <c r="A168" t="s">
        <v>40</v>
      </c>
      <c r="B168" t="s">
        <v>52</v>
      </c>
      <c r="C168" t="s">
        <v>54</v>
      </c>
    </row>
    <row r="169" spans="1:3" x14ac:dyDescent="0.25">
      <c r="A169" t="s">
        <v>40</v>
      </c>
      <c r="B169" t="s">
        <v>52</v>
      </c>
      <c r="C169" t="s">
        <v>55</v>
      </c>
    </row>
    <row r="170" spans="1:3" x14ac:dyDescent="0.25">
      <c r="A170" t="s">
        <v>40</v>
      </c>
      <c r="B170" t="s">
        <v>56</v>
      </c>
      <c r="C170" t="s">
        <v>75</v>
      </c>
    </row>
    <row r="171" spans="1:3" x14ac:dyDescent="0.25">
      <c r="A171" t="s">
        <v>40</v>
      </c>
      <c r="B171" t="s">
        <v>56</v>
      </c>
      <c r="C171" t="s">
        <v>58</v>
      </c>
    </row>
    <row r="172" spans="1:3" x14ac:dyDescent="0.25">
      <c r="A172" t="s">
        <v>40</v>
      </c>
      <c r="B172" t="s">
        <v>56</v>
      </c>
      <c r="C172" t="s">
        <v>80</v>
      </c>
    </row>
    <row r="173" spans="1:3" x14ac:dyDescent="0.25">
      <c r="A173" t="s">
        <v>40</v>
      </c>
      <c r="B173" t="s">
        <v>56</v>
      </c>
      <c r="C173" t="s">
        <v>59</v>
      </c>
    </row>
    <row r="174" spans="1:3" x14ac:dyDescent="0.25">
      <c r="A174" t="s">
        <v>40</v>
      </c>
      <c r="B174" t="s">
        <v>56</v>
      </c>
      <c r="C174" t="s">
        <v>64</v>
      </c>
    </row>
    <row r="175" spans="1:3" x14ac:dyDescent="0.25">
      <c r="A175" t="s">
        <v>41</v>
      </c>
      <c r="B175" t="s">
        <v>52</v>
      </c>
      <c r="C175" t="s">
        <v>53</v>
      </c>
    </row>
    <row r="176" spans="1:3" x14ac:dyDescent="0.25">
      <c r="A176" t="s">
        <v>41</v>
      </c>
      <c r="B176" t="s">
        <v>52</v>
      </c>
      <c r="C176" t="s">
        <v>54</v>
      </c>
    </row>
    <row r="177" spans="1:3" x14ac:dyDescent="0.25">
      <c r="A177" t="s">
        <v>41</v>
      </c>
      <c r="B177" t="s">
        <v>52</v>
      </c>
      <c r="C177" t="s">
        <v>55</v>
      </c>
    </row>
    <row r="178" spans="1:3" x14ac:dyDescent="0.25">
      <c r="A178" t="s">
        <v>41</v>
      </c>
      <c r="B178" t="s">
        <v>56</v>
      </c>
      <c r="C178" t="s">
        <v>75</v>
      </c>
    </row>
    <row r="179" spans="1:3" x14ac:dyDescent="0.25">
      <c r="A179" t="s">
        <v>41</v>
      </c>
      <c r="B179" t="s">
        <v>56</v>
      </c>
      <c r="C179" t="s">
        <v>58</v>
      </c>
    </row>
    <row r="180" spans="1:3" x14ac:dyDescent="0.25">
      <c r="A180" t="s">
        <v>41</v>
      </c>
      <c r="B180" t="s">
        <v>56</v>
      </c>
      <c r="C180" t="s">
        <v>59</v>
      </c>
    </row>
    <row r="181" spans="1:3" x14ac:dyDescent="0.25">
      <c r="A181" t="s">
        <v>41</v>
      </c>
      <c r="B181" t="s">
        <v>56</v>
      </c>
      <c r="C181" t="s">
        <v>85</v>
      </c>
    </row>
    <row r="182" spans="1:3" x14ac:dyDescent="0.25">
      <c r="A182" t="s">
        <v>41</v>
      </c>
      <c r="B182" t="s">
        <v>56</v>
      </c>
      <c r="C182" t="s">
        <v>89</v>
      </c>
    </row>
    <row r="183" spans="1:3" x14ac:dyDescent="0.25">
      <c r="A183" t="s">
        <v>42</v>
      </c>
      <c r="B183" t="s">
        <v>52</v>
      </c>
      <c r="C183" t="s">
        <v>65</v>
      </c>
    </row>
    <row r="184" spans="1:3" x14ac:dyDescent="0.25">
      <c r="A184" t="s">
        <v>42</v>
      </c>
      <c r="B184" t="s">
        <v>52</v>
      </c>
      <c r="C184" t="s">
        <v>53</v>
      </c>
    </row>
    <row r="185" spans="1:3" x14ac:dyDescent="0.25">
      <c r="A185" t="s">
        <v>42</v>
      </c>
      <c r="B185" t="s">
        <v>52</v>
      </c>
      <c r="C185" t="s">
        <v>54</v>
      </c>
    </row>
    <row r="186" spans="1:3" x14ac:dyDescent="0.25">
      <c r="A186" t="s">
        <v>42</v>
      </c>
      <c r="B186" t="s">
        <v>56</v>
      </c>
      <c r="C186" t="s">
        <v>58</v>
      </c>
    </row>
    <row r="187" spans="1:3" x14ac:dyDescent="0.25">
      <c r="A187" t="s">
        <v>42</v>
      </c>
      <c r="B187" t="s">
        <v>56</v>
      </c>
      <c r="C187" t="s">
        <v>73</v>
      </c>
    </row>
    <row r="188" spans="1:3" x14ac:dyDescent="0.25">
      <c r="A188" t="s">
        <v>42</v>
      </c>
      <c r="B188" t="s">
        <v>56</v>
      </c>
      <c r="C188" t="s">
        <v>74</v>
      </c>
    </row>
    <row r="189" spans="1:3" x14ac:dyDescent="0.25">
      <c r="A189" t="s">
        <v>42</v>
      </c>
      <c r="B189" t="s">
        <v>56</v>
      </c>
      <c r="C189" t="s">
        <v>66</v>
      </c>
    </row>
    <row r="190" spans="1:3" x14ac:dyDescent="0.25">
      <c r="A190" t="s">
        <v>42</v>
      </c>
      <c r="B190" t="s">
        <v>56</v>
      </c>
      <c r="C190" t="s">
        <v>90</v>
      </c>
    </row>
    <row r="191" spans="1:3" x14ac:dyDescent="0.25">
      <c r="A191" t="s">
        <v>43</v>
      </c>
      <c r="B191" t="s">
        <v>52</v>
      </c>
      <c r="C191" t="s">
        <v>53</v>
      </c>
    </row>
    <row r="192" spans="1:3" x14ac:dyDescent="0.25">
      <c r="A192" t="s">
        <v>43</v>
      </c>
      <c r="B192" t="s">
        <v>52</v>
      </c>
      <c r="C192" t="s">
        <v>54</v>
      </c>
    </row>
    <row r="193" spans="1:3" x14ac:dyDescent="0.25">
      <c r="A193" t="s">
        <v>43</v>
      </c>
      <c r="B193" t="s">
        <v>52</v>
      </c>
      <c r="C193" t="s">
        <v>55</v>
      </c>
    </row>
    <row r="194" spans="1:3" x14ac:dyDescent="0.25">
      <c r="A194" t="s">
        <v>43</v>
      </c>
      <c r="B194" t="s">
        <v>56</v>
      </c>
      <c r="C194" t="s">
        <v>58</v>
      </c>
    </row>
    <row r="195" spans="1:3" x14ac:dyDescent="0.25">
      <c r="A195" t="s">
        <v>43</v>
      </c>
      <c r="B195" t="s">
        <v>56</v>
      </c>
      <c r="C195" t="s">
        <v>59</v>
      </c>
    </row>
    <row r="196" spans="1:3" x14ac:dyDescent="0.25">
      <c r="A196" t="s">
        <v>43</v>
      </c>
      <c r="B196" t="s">
        <v>56</v>
      </c>
      <c r="C196" t="s">
        <v>91</v>
      </c>
    </row>
    <row r="197" spans="1:3" x14ac:dyDescent="0.25">
      <c r="A197" t="s">
        <v>43</v>
      </c>
      <c r="B197" t="s">
        <v>56</v>
      </c>
      <c r="C197" t="s">
        <v>61</v>
      </c>
    </row>
    <row r="198" spans="1:3" x14ac:dyDescent="0.25">
      <c r="A198" t="s">
        <v>44</v>
      </c>
      <c r="B198" t="s">
        <v>52</v>
      </c>
      <c r="C198" t="s">
        <v>53</v>
      </c>
    </row>
    <row r="199" spans="1:3" x14ac:dyDescent="0.25">
      <c r="A199" t="s">
        <v>44</v>
      </c>
      <c r="B199" t="s">
        <v>52</v>
      </c>
      <c r="C199" t="s">
        <v>54</v>
      </c>
    </row>
    <row r="200" spans="1:3" x14ac:dyDescent="0.25">
      <c r="A200" t="s">
        <v>44</v>
      </c>
      <c r="B200" t="s">
        <v>52</v>
      </c>
      <c r="C200" t="s">
        <v>55</v>
      </c>
    </row>
    <row r="201" spans="1:3" x14ac:dyDescent="0.25">
      <c r="A201" t="s">
        <v>44</v>
      </c>
      <c r="B201" t="s">
        <v>56</v>
      </c>
      <c r="C201" t="s">
        <v>75</v>
      </c>
    </row>
    <row r="202" spans="1:3" x14ac:dyDescent="0.25">
      <c r="A202" t="s">
        <v>44</v>
      </c>
      <c r="B202" t="s">
        <v>56</v>
      </c>
      <c r="C202" t="s">
        <v>58</v>
      </c>
    </row>
    <row r="203" spans="1:3" x14ac:dyDescent="0.25">
      <c r="A203" t="s">
        <v>44</v>
      </c>
      <c r="B203" t="s">
        <v>56</v>
      </c>
      <c r="C203" t="s">
        <v>63</v>
      </c>
    </row>
    <row r="204" spans="1:3" x14ac:dyDescent="0.25">
      <c r="A204" t="s">
        <v>44</v>
      </c>
      <c r="B204" t="s">
        <v>56</v>
      </c>
      <c r="C204" t="s">
        <v>89</v>
      </c>
    </row>
    <row r="205" spans="1:3" x14ac:dyDescent="0.25">
      <c r="A205" t="s">
        <v>44</v>
      </c>
      <c r="B205" t="s">
        <v>56</v>
      </c>
      <c r="C205" t="s">
        <v>92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DC2E5-1A8E-49A4-A0B4-2E40EE52F4B5}">
  <dimension ref="A1:L29"/>
  <sheetViews>
    <sheetView topLeftCell="C1" zoomScale="94" workbookViewId="0">
      <selection activeCell="I2" sqref="I2"/>
    </sheetView>
  </sheetViews>
  <sheetFormatPr defaultRowHeight="15" x14ac:dyDescent="0.25"/>
  <cols>
    <col min="1" max="1" width="10.5703125" bestFit="1" customWidth="1"/>
    <col min="2" max="2" width="19" bestFit="1" customWidth="1"/>
    <col min="3" max="3" width="15" bestFit="1" customWidth="1"/>
    <col min="4" max="4" width="11.7109375" bestFit="1" customWidth="1"/>
    <col min="5" max="5" width="13" bestFit="1" customWidth="1"/>
    <col min="6" max="6" width="81.140625" bestFit="1" customWidth="1"/>
    <col min="7" max="7" width="21" bestFit="1" customWidth="1"/>
    <col min="8" max="8" width="24.140625" bestFit="1" customWidth="1"/>
    <col min="9" max="9" width="28.85546875" bestFit="1" customWidth="1"/>
    <col min="10" max="10" width="23.28515625" bestFit="1" customWidth="1"/>
    <col min="11" max="11" width="14.7109375" bestFit="1" customWidth="1"/>
    <col min="12" max="12" width="17.85546875" bestFit="1" customWidth="1"/>
    <col min="13" max="13" width="28.85546875" bestFit="1" customWidth="1"/>
    <col min="14" max="14" width="23.28515625" bestFit="1" customWidth="1"/>
  </cols>
  <sheetData>
    <row r="1" spans="1:12" x14ac:dyDescent="0.25">
      <c r="A1" t="s">
        <v>93</v>
      </c>
      <c r="B1" t="s">
        <v>0</v>
      </c>
      <c r="C1" t="s">
        <v>94</v>
      </c>
      <c r="D1" t="s">
        <v>95</v>
      </c>
      <c r="E1" t="s">
        <v>96</v>
      </c>
      <c r="F1" t="s">
        <v>97</v>
      </c>
      <c r="G1" t="s">
        <v>247</v>
      </c>
      <c r="H1" t="s">
        <v>275</v>
      </c>
      <c r="I1" t="s">
        <v>276</v>
      </c>
      <c r="J1" t="s">
        <v>277</v>
      </c>
      <c r="K1" t="s">
        <v>272</v>
      </c>
      <c r="L1" t="s">
        <v>273</v>
      </c>
    </row>
    <row r="2" spans="1:12" x14ac:dyDescent="0.25">
      <c r="A2">
        <v>1</v>
      </c>
      <c r="B2" t="s">
        <v>3</v>
      </c>
      <c r="C2" s="1">
        <v>35025</v>
      </c>
      <c r="D2">
        <v>81</v>
      </c>
      <c r="E2" t="s">
        <v>98</v>
      </c>
      <c r="F2" t="s">
        <v>99</v>
      </c>
      <c r="G2" t="s">
        <v>248</v>
      </c>
      <c r="H2" t="s">
        <v>278</v>
      </c>
      <c r="I2">
        <v>11</v>
      </c>
      <c r="J2" t="s">
        <v>279</v>
      </c>
      <c r="K2">
        <f xml:space="preserve"> YEAR(Table_pixar_films[[#This Row],[release_date]])</f>
        <v>1995</v>
      </c>
      <c r="L2">
        <f>FLOOR(Table_pixar_films[[#This Row],[Release Year]], 5)</f>
        <v>1995</v>
      </c>
    </row>
    <row r="3" spans="1:12" x14ac:dyDescent="0.25">
      <c r="A3">
        <v>2</v>
      </c>
      <c r="B3" t="s">
        <v>14</v>
      </c>
      <c r="C3" s="1">
        <v>36124</v>
      </c>
      <c r="D3">
        <v>95</v>
      </c>
      <c r="E3" t="s">
        <v>98</v>
      </c>
      <c r="F3" t="s">
        <v>100</v>
      </c>
      <c r="G3" t="s">
        <v>249</v>
      </c>
      <c r="H3" t="s">
        <v>278</v>
      </c>
      <c r="I3">
        <v>11</v>
      </c>
      <c r="J3" t="s">
        <v>279</v>
      </c>
      <c r="K3">
        <f xml:space="preserve"> YEAR(Table_pixar_films[[#This Row],[release_date]])</f>
        <v>1998</v>
      </c>
      <c r="L3">
        <f>FLOOR(Table_pixar_films[[#This Row],[Release Year]], 5)</f>
        <v>1995</v>
      </c>
    </row>
    <row r="4" spans="1:12" x14ac:dyDescent="0.25">
      <c r="A4">
        <v>3</v>
      </c>
      <c r="B4" t="s">
        <v>15</v>
      </c>
      <c r="C4" s="1">
        <v>36488</v>
      </c>
      <c r="D4">
        <v>92</v>
      </c>
      <c r="E4" t="s">
        <v>98</v>
      </c>
      <c r="F4" t="s">
        <v>101</v>
      </c>
      <c r="G4" t="s">
        <v>250</v>
      </c>
      <c r="H4" t="s">
        <v>278</v>
      </c>
      <c r="I4">
        <v>11</v>
      </c>
      <c r="J4" t="s">
        <v>279</v>
      </c>
      <c r="K4">
        <f xml:space="preserve"> YEAR(Table_pixar_films[[#This Row],[release_date]])</f>
        <v>1999</v>
      </c>
      <c r="L4">
        <f>FLOOR(Table_pixar_films[[#This Row],[Release Year]], 5)</f>
        <v>1995</v>
      </c>
    </row>
    <row r="5" spans="1:12" x14ac:dyDescent="0.25">
      <c r="A5">
        <v>4</v>
      </c>
      <c r="B5" t="s">
        <v>16</v>
      </c>
      <c r="C5" s="1">
        <v>37197</v>
      </c>
      <c r="D5">
        <v>92</v>
      </c>
      <c r="E5" t="s">
        <v>98</v>
      </c>
      <c r="F5" t="s">
        <v>102</v>
      </c>
      <c r="G5" t="s">
        <v>251</v>
      </c>
      <c r="H5" t="s">
        <v>278</v>
      </c>
      <c r="I5">
        <v>11</v>
      </c>
      <c r="J5" t="s">
        <v>279</v>
      </c>
      <c r="K5">
        <f xml:space="preserve"> YEAR(Table_pixar_films[[#This Row],[release_date]])</f>
        <v>2001</v>
      </c>
      <c r="L5">
        <f>FLOOR(Table_pixar_films[[#This Row],[Release Year]], 5)</f>
        <v>2000</v>
      </c>
    </row>
    <row r="6" spans="1:12" x14ac:dyDescent="0.25">
      <c r="A6">
        <v>5</v>
      </c>
      <c r="B6" t="s">
        <v>19</v>
      </c>
      <c r="C6" s="1">
        <v>37771</v>
      </c>
      <c r="D6">
        <v>100</v>
      </c>
      <c r="E6" t="s">
        <v>98</v>
      </c>
      <c r="F6" t="s">
        <v>103</v>
      </c>
      <c r="G6" t="s">
        <v>252</v>
      </c>
      <c r="H6" t="s">
        <v>280</v>
      </c>
      <c r="I6">
        <v>5</v>
      </c>
      <c r="J6" t="s">
        <v>281</v>
      </c>
      <c r="K6">
        <f xml:space="preserve"> YEAR(Table_pixar_films[[#This Row],[release_date]])</f>
        <v>2003</v>
      </c>
      <c r="L6">
        <f>FLOOR(Table_pixar_films[[#This Row],[Release Year]], 5)</f>
        <v>2000</v>
      </c>
    </row>
    <row r="7" spans="1:12" x14ac:dyDescent="0.25">
      <c r="A7">
        <v>6</v>
      </c>
      <c r="B7" t="s">
        <v>20</v>
      </c>
      <c r="C7" s="1">
        <v>38296</v>
      </c>
      <c r="D7">
        <v>115</v>
      </c>
      <c r="E7" t="s">
        <v>104</v>
      </c>
      <c r="F7" t="s">
        <v>105</v>
      </c>
      <c r="G7" t="s">
        <v>253</v>
      </c>
      <c r="H7" t="s">
        <v>278</v>
      </c>
      <c r="I7">
        <v>11</v>
      </c>
      <c r="J7" t="s">
        <v>279</v>
      </c>
      <c r="K7">
        <f xml:space="preserve"> YEAR(Table_pixar_films[[#This Row],[release_date]])</f>
        <v>2004</v>
      </c>
      <c r="L7">
        <f>FLOOR(Table_pixar_films[[#This Row],[Release Year]], 5)</f>
        <v>2000</v>
      </c>
    </row>
    <row r="8" spans="1:12" x14ac:dyDescent="0.25">
      <c r="A8">
        <v>7</v>
      </c>
      <c r="B8" t="s">
        <v>22</v>
      </c>
      <c r="C8" s="1">
        <v>38877</v>
      </c>
      <c r="D8">
        <v>116</v>
      </c>
      <c r="E8" t="s">
        <v>98</v>
      </c>
      <c r="F8" t="s">
        <v>106</v>
      </c>
      <c r="G8" t="s">
        <v>254</v>
      </c>
      <c r="H8" t="s">
        <v>280</v>
      </c>
      <c r="I8">
        <v>6</v>
      </c>
      <c r="J8" t="s">
        <v>282</v>
      </c>
      <c r="K8">
        <f xml:space="preserve"> YEAR(Table_pixar_films[[#This Row],[release_date]])</f>
        <v>2006</v>
      </c>
      <c r="L8">
        <f>FLOOR(Table_pixar_films[[#This Row],[Release Year]], 5)</f>
        <v>2005</v>
      </c>
    </row>
    <row r="9" spans="1:12" x14ac:dyDescent="0.25">
      <c r="A9">
        <v>8</v>
      </c>
      <c r="B9" t="s">
        <v>23</v>
      </c>
      <c r="C9" s="1">
        <v>39262</v>
      </c>
      <c r="D9">
        <v>111</v>
      </c>
      <c r="E9" t="s">
        <v>98</v>
      </c>
      <c r="F9" t="s">
        <v>107</v>
      </c>
      <c r="G9" t="s">
        <v>255</v>
      </c>
      <c r="H9" t="s">
        <v>280</v>
      </c>
      <c r="I9">
        <v>6</v>
      </c>
      <c r="J9" t="s">
        <v>282</v>
      </c>
      <c r="K9">
        <f xml:space="preserve"> YEAR(Table_pixar_films[[#This Row],[release_date]])</f>
        <v>2007</v>
      </c>
      <c r="L9">
        <f>FLOOR(Table_pixar_films[[#This Row],[Release Year]], 5)</f>
        <v>2005</v>
      </c>
    </row>
    <row r="10" spans="1:12" x14ac:dyDescent="0.25">
      <c r="A10">
        <v>9</v>
      </c>
      <c r="B10" t="s">
        <v>24</v>
      </c>
      <c r="C10" s="1">
        <v>39626</v>
      </c>
      <c r="D10">
        <v>98</v>
      </c>
      <c r="E10" t="s">
        <v>98</v>
      </c>
      <c r="F10" t="s">
        <v>108</v>
      </c>
      <c r="G10" t="s">
        <v>256</v>
      </c>
      <c r="H10" t="s">
        <v>280</v>
      </c>
      <c r="I10">
        <v>6</v>
      </c>
      <c r="J10" t="s">
        <v>282</v>
      </c>
      <c r="K10">
        <f xml:space="preserve"> YEAR(Table_pixar_films[[#This Row],[release_date]])</f>
        <v>2008</v>
      </c>
      <c r="L10">
        <f>FLOOR(Table_pixar_films[[#This Row],[Release Year]], 5)</f>
        <v>2005</v>
      </c>
    </row>
    <row r="11" spans="1:12" x14ac:dyDescent="0.25">
      <c r="A11">
        <v>10</v>
      </c>
      <c r="B11" t="s">
        <v>25</v>
      </c>
      <c r="C11" s="1">
        <v>39962</v>
      </c>
      <c r="D11">
        <v>96</v>
      </c>
      <c r="E11" t="s">
        <v>104</v>
      </c>
      <c r="F11" t="s">
        <v>109</v>
      </c>
      <c r="G11" t="s">
        <v>257</v>
      </c>
      <c r="H11" t="s">
        <v>280</v>
      </c>
      <c r="I11">
        <v>5</v>
      </c>
      <c r="J11" t="s">
        <v>281</v>
      </c>
      <c r="K11">
        <f xml:space="preserve"> YEAR(Table_pixar_films[[#This Row],[release_date]])</f>
        <v>2009</v>
      </c>
      <c r="L11">
        <f>FLOOR(Table_pixar_films[[#This Row],[Release Year]], 5)</f>
        <v>2005</v>
      </c>
    </row>
    <row r="12" spans="1:12" x14ac:dyDescent="0.25">
      <c r="A12">
        <v>11</v>
      </c>
      <c r="B12" t="s">
        <v>27</v>
      </c>
      <c r="C12" s="1">
        <v>40347</v>
      </c>
      <c r="D12">
        <v>103</v>
      </c>
      <c r="E12" t="s">
        <v>98</v>
      </c>
      <c r="F12" t="s">
        <v>110</v>
      </c>
      <c r="G12" t="s">
        <v>258</v>
      </c>
      <c r="H12" t="s">
        <v>280</v>
      </c>
      <c r="I12">
        <v>6</v>
      </c>
      <c r="J12" t="s">
        <v>282</v>
      </c>
      <c r="K12">
        <f xml:space="preserve"> YEAR(Table_pixar_films[[#This Row],[release_date]])</f>
        <v>2010</v>
      </c>
      <c r="L12">
        <f>FLOOR(Table_pixar_films[[#This Row],[Release Year]], 5)</f>
        <v>2010</v>
      </c>
    </row>
    <row r="13" spans="1:12" x14ac:dyDescent="0.25">
      <c r="A13">
        <v>12</v>
      </c>
      <c r="B13" t="s">
        <v>28</v>
      </c>
      <c r="C13" s="1">
        <v>40718</v>
      </c>
      <c r="D13">
        <v>106</v>
      </c>
      <c r="E13" t="s">
        <v>98</v>
      </c>
      <c r="F13" t="s">
        <v>111</v>
      </c>
      <c r="G13" t="s">
        <v>259</v>
      </c>
      <c r="H13" t="s">
        <v>280</v>
      </c>
      <c r="I13">
        <v>6</v>
      </c>
      <c r="J13" t="s">
        <v>282</v>
      </c>
      <c r="K13">
        <f xml:space="preserve"> YEAR(Table_pixar_films[[#This Row],[release_date]])</f>
        <v>2011</v>
      </c>
      <c r="L13">
        <f>FLOOR(Table_pixar_films[[#This Row],[Release Year]], 5)</f>
        <v>2010</v>
      </c>
    </row>
    <row r="14" spans="1:12" x14ac:dyDescent="0.25">
      <c r="A14">
        <v>13</v>
      </c>
      <c r="B14" t="s">
        <v>29</v>
      </c>
      <c r="C14" s="1">
        <v>41082</v>
      </c>
      <c r="D14">
        <v>93</v>
      </c>
      <c r="E14" t="s">
        <v>104</v>
      </c>
      <c r="F14" t="s">
        <v>112</v>
      </c>
      <c r="G14" t="s">
        <v>260</v>
      </c>
      <c r="H14" t="s">
        <v>280</v>
      </c>
      <c r="I14">
        <v>6</v>
      </c>
      <c r="J14" t="s">
        <v>282</v>
      </c>
      <c r="K14">
        <f xml:space="preserve"> YEAR(Table_pixar_films[[#This Row],[release_date]])</f>
        <v>2012</v>
      </c>
      <c r="L14">
        <f>FLOOR(Table_pixar_films[[#This Row],[Release Year]], 5)</f>
        <v>2010</v>
      </c>
    </row>
    <row r="15" spans="1:12" x14ac:dyDescent="0.25">
      <c r="A15">
        <v>14</v>
      </c>
      <c r="B15" t="s">
        <v>30</v>
      </c>
      <c r="C15" s="1">
        <v>41446</v>
      </c>
      <c r="D15">
        <v>104</v>
      </c>
      <c r="E15" t="s">
        <v>98</v>
      </c>
      <c r="F15" t="s">
        <v>113</v>
      </c>
      <c r="G15" t="s">
        <v>261</v>
      </c>
      <c r="H15" t="s">
        <v>280</v>
      </c>
      <c r="I15">
        <v>6</v>
      </c>
      <c r="J15" t="s">
        <v>282</v>
      </c>
      <c r="K15">
        <f xml:space="preserve"> YEAR(Table_pixar_films[[#This Row],[release_date]])</f>
        <v>2013</v>
      </c>
      <c r="L15">
        <f>FLOOR(Table_pixar_films[[#This Row],[Release Year]], 5)</f>
        <v>2010</v>
      </c>
    </row>
    <row r="16" spans="1:12" x14ac:dyDescent="0.25">
      <c r="A16">
        <v>15</v>
      </c>
      <c r="B16" t="s">
        <v>31</v>
      </c>
      <c r="C16" s="1">
        <v>42174</v>
      </c>
      <c r="D16">
        <v>95</v>
      </c>
      <c r="E16" t="s">
        <v>104</v>
      </c>
      <c r="F16" t="s">
        <v>114</v>
      </c>
      <c r="G16" t="s">
        <v>262</v>
      </c>
      <c r="H16" t="s">
        <v>280</v>
      </c>
      <c r="I16">
        <v>6</v>
      </c>
      <c r="J16" t="s">
        <v>282</v>
      </c>
      <c r="K16">
        <f xml:space="preserve"> YEAR(Table_pixar_films[[#This Row],[release_date]])</f>
        <v>2015</v>
      </c>
      <c r="L16">
        <f>FLOOR(Table_pixar_films[[#This Row],[Release Year]], 5)</f>
        <v>2015</v>
      </c>
    </row>
    <row r="17" spans="1:12" x14ac:dyDescent="0.25">
      <c r="A17">
        <v>16</v>
      </c>
      <c r="B17" t="s">
        <v>32</v>
      </c>
      <c r="C17" s="1">
        <v>42333</v>
      </c>
      <c r="D17">
        <v>93</v>
      </c>
      <c r="E17" t="s">
        <v>104</v>
      </c>
      <c r="F17" t="s">
        <v>115</v>
      </c>
      <c r="G17" t="s">
        <v>262</v>
      </c>
      <c r="H17" t="s">
        <v>278</v>
      </c>
      <c r="I17">
        <v>11</v>
      </c>
      <c r="J17" t="s">
        <v>279</v>
      </c>
      <c r="K17">
        <f xml:space="preserve"> YEAR(Table_pixar_films[[#This Row],[release_date]])</f>
        <v>2015</v>
      </c>
      <c r="L17">
        <f>FLOOR(Table_pixar_films[[#This Row],[Release Year]], 5)</f>
        <v>2015</v>
      </c>
    </row>
    <row r="18" spans="1:12" x14ac:dyDescent="0.25">
      <c r="A18">
        <v>17</v>
      </c>
      <c r="B18" t="s">
        <v>33</v>
      </c>
      <c r="C18" s="1">
        <v>42538</v>
      </c>
      <c r="D18">
        <v>97</v>
      </c>
      <c r="E18" t="s">
        <v>104</v>
      </c>
      <c r="F18" t="s">
        <v>116</v>
      </c>
      <c r="G18" t="s">
        <v>263</v>
      </c>
      <c r="H18" t="s">
        <v>280</v>
      </c>
      <c r="I18">
        <v>6</v>
      </c>
      <c r="J18" t="s">
        <v>282</v>
      </c>
      <c r="K18">
        <f xml:space="preserve"> YEAR(Table_pixar_films[[#This Row],[release_date]])</f>
        <v>2016</v>
      </c>
      <c r="L18">
        <f>FLOOR(Table_pixar_films[[#This Row],[Release Year]], 5)</f>
        <v>2015</v>
      </c>
    </row>
    <row r="19" spans="1:12" x14ac:dyDescent="0.25">
      <c r="A19">
        <v>18</v>
      </c>
      <c r="B19" t="s">
        <v>34</v>
      </c>
      <c r="C19" s="1">
        <v>42902</v>
      </c>
      <c r="D19">
        <v>102</v>
      </c>
      <c r="E19" t="s">
        <v>98</v>
      </c>
      <c r="F19" t="s">
        <v>117</v>
      </c>
      <c r="G19" t="s">
        <v>264</v>
      </c>
      <c r="H19" t="s">
        <v>280</v>
      </c>
      <c r="I19">
        <v>6</v>
      </c>
      <c r="J19" t="s">
        <v>282</v>
      </c>
      <c r="K19">
        <f xml:space="preserve"> YEAR(Table_pixar_films[[#This Row],[release_date]])</f>
        <v>2017</v>
      </c>
      <c r="L19">
        <f>FLOOR(Table_pixar_films[[#This Row],[Release Year]], 5)</f>
        <v>2015</v>
      </c>
    </row>
    <row r="20" spans="1:12" x14ac:dyDescent="0.25">
      <c r="A20">
        <v>19</v>
      </c>
      <c r="B20" t="s">
        <v>35</v>
      </c>
      <c r="C20" s="1">
        <v>43061</v>
      </c>
      <c r="D20">
        <v>105</v>
      </c>
      <c r="E20" t="s">
        <v>104</v>
      </c>
      <c r="F20" t="s">
        <v>118</v>
      </c>
      <c r="G20" t="s">
        <v>264</v>
      </c>
      <c r="H20" t="s">
        <v>278</v>
      </c>
      <c r="I20">
        <v>11</v>
      </c>
      <c r="J20" t="s">
        <v>279</v>
      </c>
      <c r="K20">
        <f xml:space="preserve"> YEAR(Table_pixar_films[[#This Row],[release_date]])</f>
        <v>2017</v>
      </c>
      <c r="L20">
        <f>FLOOR(Table_pixar_films[[#This Row],[Release Year]], 5)</f>
        <v>2015</v>
      </c>
    </row>
    <row r="21" spans="1:12" x14ac:dyDescent="0.25">
      <c r="A21">
        <v>20</v>
      </c>
      <c r="B21" t="s">
        <v>36</v>
      </c>
      <c r="C21" s="1">
        <v>43266</v>
      </c>
      <c r="D21">
        <v>118</v>
      </c>
      <c r="E21" t="s">
        <v>104</v>
      </c>
      <c r="F21" t="s">
        <v>119</v>
      </c>
      <c r="G21" t="s">
        <v>265</v>
      </c>
      <c r="H21" t="s">
        <v>280</v>
      </c>
      <c r="I21">
        <v>6</v>
      </c>
      <c r="J21" t="s">
        <v>282</v>
      </c>
      <c r="K21">
        <f xml:space="preserve"> YEAR(Table_pixar_films[[#This Row],[release_date]])</f>
        <v>2018</v>
      </c>
      <c r="L21">
        <f>FLOOR(Table_pixar_films[[#This Row],[Release Year]], 5)</f>
        <v>2015</v>
      </c>
    </row>
    <row r="22" spans="1:12" x14ac:dyDescent="0.25">
      <c r="A22">
        <v>21</v>
      </c>
      <c r="B22" t="s">
        <v>37</v>
      </c>
      <c r="C22" s="1">
        <v>43637</v>
      </c>
      <c r="D22">
        <v>100</v>
      </c>
      <c r="E22" t="s">
        <v>98</v>
      </c>
      <c r="F22" t="s">
        <v>120</v>
      </c>
      <c r="G22" t="s">
        <v>266</v>
      </c>
      <c r="H22" t="s">
        <v>280</v>
      </c>
      <c r="I22">
        <v>6</v>
      </c>
      <c r="J22" t="s">
        <v>282</v>
      </c>
      <c r="K22">
        <f xml:space="preserve"> YEAR(Table_pixar_films[[#This Row],[release_date]])</f>
        <v>2019</v>
      </c>
      <c r="L22">
        <f>FLOOR(Table_pixar_films[[#This Row],[Release Year]], 5)</f>
        <v>2015</v>
      </c>
    </row>
    <row r="23" spans="1:12" x14ac:dyDescent="0.25">
      <c r="A23">
        <v>22</v>
      </c>
      <c r="B23" t="s">
        <v>38</v>
      </c>
      <c r="C23" s="1">
        <v>43896</v>
      </c>
      <c r="D23">
        <v>102</v>
      </c>
      <c r="E23" t="s">
        <v>104</v>
      </c>
      <c r="F23" t="s">
        <v>121</v>
      </c>
      <c r="G23" t="s">
        <v>267</v>
      </c>
      <c r="H23" t="s">
        <v>283</v>
      </c>
      <c r="I23">
        <v>3</v>
      </c>
      <c r="J23" t="s">
        <v>284</v>
      </c>
      <c r="K23">
        <f xml:space="preserve"> YEAR(Table_pixar_films[[#This Row],[release_date]])</f>
        <v>2020</v>
      </c>
      <c r="L23">
        <f>FLOOR(Table_pixar_films[[#This Row],[Release Year]], 5)</f>
        <v>2020</v>
      </c>
    </row>
    <row r="24" spans="1:12" x14ac:dyDescent="0.25">
      <c r="A24">
        <v>23</v>
      </c>
      <c r="B24" t="s">
        <v>39</v>
      </c>
      <c r="C24" s="1">
        <v>44190</v>
      </c>
      <c r="D24">
        <v>100</v>
      </c>
      <c r="E24" t="s">
        <v>104</v>
      </c>
      <c r="F24" t="s">
        <v>122</v>
      </c>
      <c r="G24" t="s">
        <v>267</v>
      </c>
      <c r="H24" t="s">
        <v>278</v>
      </c>
      <c r="I24">
        <v>12</v>
      </c>
      <c r="J24" t="s">
        <v>285</v>
      </c>
      <c r="K24">
        <f xml:space="preserve"> YEAR(Table_pixar_films[[#This Row],[release_date]])</f>
        <v>2020</v>
      </c>
      <c r="L24">
        <f>FLOOR(Table_pixar_films[[#This Row],[Release Year]], 5)</f>
        <v>2020</v>
      </c>
    </row>
    <row r="25" spans="1:12" x14ac:dyDescent="0.25">
      <c r="A25">
        <v>24</v>
      </c>
      <c r="B25" t="s">
        <v>40</v>
      </c>
      <c r="C25" s="1">
        <v>44365</v>
      </c>
      <c r="D25">
        <v>95</v>
      </c>
      <c r="E25" t="s">
        <v>104</v>
      </c>
      <c r="F25" t="s">
        <v>123</v>
      </c>
      <c r="G25" t="s">
        <v>268</v>
      </c>
      <c r="H25" t="s">
        <v>280</v>
      </c>
      <c r="I25">
        <v>6</v>
      </c>
      <c r="J25" t="s">
        <v>282</v>
      </c>
      <c r="K25">
        <f xml:space="preserve"> YEAR(Table_pixar_films[[#This Row],[release_date]])</f>
        <v>2021</v>
      </c>
      <c r="L25">
        <f>FLOOR(Table_pixar_films[[#This Row],[Release Year]], 5)</f>
        <v>2020</v>
      </c>
    </row>
    <row r="26" spans="1:12" x14ac:dyDescent="0.25">
      <c r="A26">
        <v>25</v>
      </c>
      <c r="B26" t="s">
        <v>41</v>
      </c>
      <c r="C26" s="1">
        <v>44631</v>
      </c>
      <c r="D26">
        <v>100</v>
      </c>
      <c r="E26" t="s">
        <v>104</v>
      </c>
      <c r="F26" t="s">
        <v>124</v>
      </c>
      <c r="G26" t="s">
        <v>269</v>
      </c>
      <c r="H26" t="s">
        <v>283</v>
      </c>
      <c r="I26">
        <v>3</v>
      </c>
      <c r="J26" t="s">
        <v>284</v>
      </c>
      <c r="K26">
        <f xml:space="preserve"> YEAR(Table_pixar_films[[#This Row],[release_date]])</f>
        <v>2022</v>
      </c>
      <c r="L26">
        <f>FLOOR(Table_pixar_films[[#This Row],[Release Year]], 5)</f>
        <v>2020</v>
      </c>
    </row>
    <row r="27" spans="1:12" x14ac:dyDescent="0.25">
      <c r="A27">
        <v>26</v>
      </c>
      <c r="B27" t="s">
        <v>42</v>
      </c>
      <c r="C27" s="1">
        <v>44729</v>
      </c>
      <c r="D27">
        <v>105</v>
      </c>
      <c r="E27" t="s">
        <v>104</v>
      </c>
      <c r="F27" t="s">
        <v>125</v>
      </c>
      <c r="G27" t="s">
        <v>269</v>
      </c>
      <c r="H27" t="s">
        <v>280</v>
      </c>
      <c r="I27">
        <v>6</v>
      </c>
      <c r="J27" t="s">
        <v>282</v>
      </c>
      <c r="K27">
        <f xml:space="preserve"> YEAR(Table_pixar_films[[#This Row],[release_date]])</f>
        <v>2022</v>
      </c>
      <c r="L27">
        <f>FLOOR(Table_pixar_films[[#This Row],[Release Year]], 5)</f>
        <v>2020</v>
      </c>
    </row>
    <row r="28" spans="1:12" x14ac:dyDescent="0.25">
      <c r="A28">
        <v>27</v>
      </c>
      <c r="B28" t="s">
        <v>43</v>
      </c>
      <c r="C28" s="1">
        <v>45093</v>
      </c>
      <c r="D28">
        <v>101</v>
      </c>
      <c r="E28" t="s">
        <v>104</v>
      </c>
      <c r="F28" t="s">
        <v>126</v>
      </c>
      <c r="G28" t="s">
        <v>270</v>
      </c>
      <c r="H28" t="s">
        <v>280</v>
      </c>
      <c r="I28">
        <v>6</v>
      </c>
      <c r="J28" t="s">
        <v>282</v>
      </c>
      <c r="K28">
        <f xml:space="preserve"> YEAR(Table_pixar_films[[#This Row],[release_date]])</f>
        <v>2023</v>
      </c>
      <c r="L28">
        <f>FLOOR(Table_pixar_films[[#This Row],[Release Year]], 5)</f>
        <v>2020</v>
      </c>
    </row>
    <row r="29" spans="1:12" x14ac:dyDescent="0.25">
      <c r="A29">
        <v>28</v>
      </c>
      <c r="B29" t="s">
        <v>44</v>
      </c>
      <c r="C29" s="1">
        <v>45457</v>
      </c>
      <c r="D29">
        <v>96</v>
      </c>
      <c r="E29" t="s">
        <v>104</v>
      </c>
      <c r="F29" t="s">
        <v>127</v>
      </c>
      <c r="G29" t="s">
        <v>271</v>
      </c>
      <c r="H29" t="s">
        <v>280</v>
      </c>
      <c r="I29">
        <v>6</v>
      </c>
      <c r="J29" t="s">
        <v>282</v>
      </c>
      <c r="K29">
        <f xml:space="preserve"> YEAR(Table_pixar_films[[#This Row],[release_date]])</f>
        <v>2024</v>
      </c>
      <c r="L29">
        <f>FLOOR(Table_pixar_films[[#This Row],[Release Year]], 5)</f>
        <v>2020</v>
      </c>
    </row>
  </sheetData>
  <phoneticPr fontId="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006C8-9D6A-4073-800B-707814A1C2B6}">
  <dimension ref="A1:C261"/>
  <sheetViews>
    <sheetView workbookViewId="0">
      <selection activeCell="F11" sqref="F11"/>
    </sheetView>
  </sheetViews>
  <sheetFormatPr defaultRowHeight="15" x14ac:dyDescent="0.25"/>
  <cols>
    <col min="1" max="1" width="19" bestFit="1" customWidth="1"/>
    <col min="2" max="2" width="12.42578125" bestFit="1" customWidth="1"/>
    <col min="3" max="3" width="20.85546875" bestFit="1" customWidth="1"/>
  </cols>
  <sheetData>
    <row r="1" spans="1:3" x14ac:dyDescent="0.25">
      <c r="A1" t="s">
        <v>0</v>
      </c>
      <c r="B1" t="s">
        <v>128</v>
      </c>
      <c r="C1" t="s">
        <v>129</v>
      </c>
    </row>
    <row r="2" spans="1:3" x14ac:dyDescent="0.25">
      <c r="A2" t="s">
        <v>3</v>
      </c>
      <c r="B2" t="s">
        <v>130</v>
      </c>
      <c r="C2" t="s">
        <v>131</v>
      </c>
    </row>
    <row r="3" spans="1:3" x14ac:dyDescent="0.25">
      <c r="A3" t="s">
        <v>3</v>
      </c>
      <c r="B3" t="s">
        <v>132</v>
      </c>
      <c r="C3" t="s">
        <v>133</v>
      </c>
    </row>
    <row r="4" spans="1:3" x14ac:dyDescent="0.25">
      <c r="A4" t="s">
        <v>3</v>
      </c>
      <c r="B4" t="s">
        <v>134</v>
      </c>
      <c r="C4" t="s">
        <v>135</v>
      </c>
    </row>
    <row r="5" spans="1:3" x14ac:dyDescent="0.25">
      <c r="A5" t="s">
        <v>3</v>
      </c>
      <c r="B5" t="s">
        <v>134</v>
      </c>
      <c r="C5" t="s">
        <v>136</v>
      </c>
    </row>
    <row r="6" spans="1:3" x14ac:dyDescent="0.25">
      <c r="A6" t="s">
        <v>3</v>
      </c>
      <c r="B6" t="s">
        <v>137</v>
      </c>
      <c r="C6" t="s">
        <v>138</v>
      </c>
    </row>
    <row r="7" spans="1:3" x14ac:dyDescent="0.25">
      <c r="A7" t="s">
        <v>3</v>
      </c>
      <c r="B7" t="s">
        <v>137</v>
      </c>
      <c r="C7" t="s">
        <v>139</v>
      </c>
    </row>
    <row r="8" spans="1:3" x14ac:dyDescent="0.25">
      <c r="A8" t="s">
        <v>3</v>
      </c>
      <c r="B8" t="s">
        <v>137</v>
      </c>
      <c r="C8" t="s">
        <v>140</v>
      </c>
    </row>
    <row r="9" spans="1:3" x14ac:dyDescent="0.25">
      <c r="A9" t="s">
        <v>3</v>
      </c>
      <c r="B9" t="s">
        <v>137</v>
      </c>
      <c r="C9" t="s">
        <v>141</v>
      </c>
    </row>
    <row r="10" spans="1:3" x14ac:dyDescent="0.25">
      <c r="A10" t="s">
        <v>3</v>
      </c>
      <c r="B10" t="s">
        <v>142</v>
      </c>
      <c r="C10" t="s">
        <v>143</v>
      </c>
    </row>
    <row r="11" spans="1:3" x14ac:dyDescent="0.25">
      <c r="A11" t="s">
        <v>3</v>
      </c>
      <c r="B11" t="s">
        <v>142</v>
      </c>
      <c r="C11" t="s">
        <v>131</v>
      </c>
    </row>
    <row r="12" spans="1:3" x14ac:dyDescent="0.25">
      <c r="A12" t="s">
        <v>3</v>
      </c>
      <c r="B12" t="s">
        <v>142</v>
      </c>
      <c r="C12" t="s">
        <v>144</v>
      </c>
    </row>
    <row r="13" spans="1:3" x14ac:dyDescent="0.25">
      <c r="A13" t="s">
        <v>3</v>
      </c>
      <c r="B13" t="s">
        <v>142</v>
      </c>
      <c r="C13" t="s">
        <v>140</v>
      </c>
    </row>
    <row r="14" spans="1:3" x14ac:dyDescent="0.25">
      <c r="A14" t="s">
        <v>14</v>
      </c>
      <c r="B14" t="s">
        <v>145</v>
      </c>
      <c r="C14" t="s">
        <v>140</v>
      </c>
    </row>
    <row r="15" spans="1:3" x14ac:dyDescent="0.25">
      <c r="A15" t="s">
        <v>14</v>
      </c>
      <c r="B15" t="s">
        <v>130</v>
      </c>
      <c r="C15" t="s">
        <v>131</v>
      </c>
    </row>
    <row r="16" spans="1:3" x14ac:dyDescent="0.25">
      <c r="A16" t="s">
        <v>14</v>
      </c>
      <c r="B16" t="s">
        <v>132</v>
      </c>
      <c r="C16" t="s">
        <v>133</v>
      </c>
    </row>
    <row r="17" spans="1:3" x14ac:dyDescent="0.25">
      <c r="A17" t="s">
        <v>14</v>
      </c>
      <c r="B17" t="s">
        <v>134</v>
      </c>
      <c r="C17" t="s">
        <v>146</v>
      </c>
    </row>
    <row r="18" spans="1:3" x14ac:dyDescent="0.25">
      <c r="A18" t="s">
        <v>14</v>
      </c>
      <c r="B18" t="s">
        <v>134</v>
      </c>
      <c r="C18" t="s">
        <v>147</v>
      </c>
    </row>
    <row r="19" spans="1:3" x14ac:dyDescent="0.25">
      <c r="A19" t="s">
        <v>14</v>
      </c>
      <c r="B19" t="s">
        <v>137</v>
      </c>
      <c r="C19" t="s">
        <v>148</v>
      </c>
    </row>
    <row r="20" spans="1:3" x14ac:dyDescent="0.25">
      <c r="A20" t="s">
        <v>14</v>
      </c>
      <c r="B20" t="s">
        <v>137</v>
      </c>
      <c r="C20" t="s">
        <v>149</v>
      </c>
    </row>
    <row r="21" spans="1:3" x14ac:dyDescent="0.25">
      <c r="A21" t="s">
        <v>14</v>
      </c>
      <c r="B21" t="s">
        <v>137</v>
      </c>
      <c r="C21" t="s">
        <v>140</v>
      </c>
    </row>
    <row r="22" spans="1:3" x14ac:dyDescent="0.25">
      <c r="A22" t="s">
        <v>14</v>
      </c>
      <c r="B22" t="s">
        <v>142</v>
      </c>
      <c r="C22" t="s">
        <v>131</v>
      </c>
    </row>
    <row r="23" spans="1:3" x14ac:dyDescent="0.25">
      <c r="A23" t="s">
        <v>14</v>
      </c>
      <c r="B23" t="s">
        <v>142</v>
      </c>
      <c r="C23" t="s">
        <v>144</v>
      </c>
    </row>
    <row r="24" spans="1:3" x14ac:dyDescent="0.25">
      <c r="A24" t="s">
        <v>14</v>
      </c>
      <c r="B24" t="s">
        <v>142</v>
      </c>
      <c r="C24" t="s">
        <v>140</v>
      </c>
    </row>
    <row r="25" spans="1:3" x14ac:dyDescent="0.25">
      <c r="A25" t="s">
        <v>15</v>
      </c>
      <c r="B25" t="s">
        <v>145</v>
      </c>
      <c r="C25" t="s">
        <v>150</v>
      </c>
    </row>
    <row r="26" spans="1:3" x14ac:dyDescent="0.25">
      <c r="A26" t="s">
        <v>15</v>
      </c>
      <c r="B26" t="s">
        <v>145</v>
      </c>
      <c r="C26" t="s">
        <v>151</v>
      </c>
    </row>
    <row r="27" spans="1:3" x14ac:dyDescent="0.25">
      <c r="A27" t="s">
        <v>15</v>
      </c>
      <c r="B27" t="s">
        <v>130</v>
      </c>
      <c r="C27" t="s">
        <v>131</v>
      </c>
    </row>
    <row r="28" spans="1:3" x14ac:dyDescent="0.25">
      <c r="A28" t="s">
        <v>15</v>
      </c>
      <c r="B28" t="s">
        <v>132</v>
      </c>
      <c r="C28" t="s">
        <v>133</v>
      </c>
    </row>
    <row r="29" spans="1:3" x14ac:dyDescent="0.25">
      <c r="A29" t="s">
        <v>15</v>
      </c>
      <c r="B29" t="s">
        <v>134</v>
      </c>
      <c r="C29" t="s">
        <v>152</v>
      </c>
    </row>
    <row r="30" spans="1:3" x14ac:dyDescent="0.25">
      <c r="A30" t="s">
        <v>15</v>
      </c>
      <c r="B30" t="s">
        <v>134</v>
      </c>
      <c r="C30" t="s">
        <v>153</v>
      </c>
    </row>
    <row r="31" spans="1:3" x14ac:dyDescent="0.25">
      <c r="A31" t="s">
        <v>15</v>
      </c>
      <c r="B31" t="s">
        <v>137</v>
      </c>
      <c r="C31" t="s">
        <v>154</v>
      </c>
    </row>
    <row r="32" spans="1:3" x14ac:dyDescent="0.25">
      <c r="A32" t="s">
        <v>15</v>
      </c>
      <c r="B32" t="s">
        <v>137</v>
      </c>
      <c r="C32" t="s">
        <v>155</v>
      </c>
    </row>
    <row r="33" spans="1:3" x14ac:dyDescent="0.25">
      <c r="A33" t="s">
        <v>15</v>
      </c>
      <c r="B33" t="s">
        <v>137</v>
      </c>
      <c r="C33" t="s">
        <v>140</v>
      </c>
    </row>
    <row r="34" spans="1:3" x14ac:dyDescent="0.25">
      <c r="A34" t="s">
        <v>15</v>
      </c>
      <c r="B34" t="s">
        <v>137</v>
      </c>
      <c r="C34" t="s">
        <v>156</v>
      </c>
    </row>
    <row r="35" spans="1:3" x14ac:dyDescent="0.25">
      <c r="A35" t="s">
        <v>15</v>
      </c>
      <c r="B35" t="s">
        <v>142</v>
      </c>
      <c r="C35" t="s">
        <v>150</v>
      </c>
    </row>
    <row r="36" spans="1:3" x14ac:dyDescent="0.25">
      <c r="A36" t="s">
        <v>15</v>
      </c>
      <c r="B36" t="s">
        <v>142</v>
      </c>
      <c r="C36" t="s">
        <v>143</v>
      </c>
    </row>
    <row r="37" spans="1:3" x14ac:dyDescent="0.25">
      <c r="A37" t="s">
        <v>15</v>
      </c>
      <c r="B37" t="s">
        <v>142</v>
      </c>
      <c r="C37" t="s">
        <v>131</v>
      </c>
    </row>
    <row r="38" spans="1:3" x14ac:dyDescent="0.25">
      <c r="A38" t="s">
        <v>15</v>
      </c>
      <c r="B38" t="s">
        <v>142</v>
      </c>
      <c r="C38" t="s">
        <v>140</v>
      </c>
    </row>
    <row r="39" spans="1:3" x14ac:dyDescent="0.25">
      <c r="A39" t="s">
        <v>16</v>
      </c>
      <c r="B39" t="s">
        <v>145</v>
      </c>
      <c r="C39" t="s">
        <v>157</v>
      </c>
    </row>
    <row r="40" spans="1:3" x14ac:dyDescent="0.25">
      <c r="A40" t="s">
        <v>16</v>
      </c>
      <c r="B40" t="s">
        <v>145</v>
      </c>
      <c r="C40" t="s">
        <v>151</v>
      </c>
    </row>
    <row r="41" spans="1:3" x14ac:dyDescent="0.25">
      <c r="A41" t="s">
        <v>16</v>
      </c>
      <c r="B41" t="s">
        <v>130</v>
      </c>
      <c r="C41" t="s">
        <v>143</v>
      </c>
    </row>
    <row r="42" spans="1:3" x14ac:dyDescent="0.25">
      <c r="A42" t="s">
        <v>16</v>
      </c>
      <c r="B42" t="s">
        <v>132</v>
      </c>
      <c r="C42" t="s">
        <v>133</v>
      </c>
    </row>
    <row r="43" spans="1:3" x14ac:dyDescent="0.25">
      <c r="A43" t="s">
        <v>16</v>
      </c>
      <c r="B43" t="s">
        <v>134</v>
      </c>
      <c r="C43" t="s">
        <v>146</v>
      </c>
    </row>
    <row r="44" spans="1:3" x14ac:dyDescent="0.25">
      <c r="A44" t="s">
        <v>16</v>
      </c>
      <c r="B44" t="s">
        <v>137</v>
      </c>
      <c r="C44" t="s">
        <v>158</v>
      </c>
    </row>
    <row r="45" spans="1:3" x14ac:dyDescent="0.25">
      <c r="A45" t="s">
        <v>16</v>
      </c>
      <c r="B45" t="s">
        <v>137</v>
      </c>
      <c r="C45" t="s">
        <v>140</v>
      </c>
    </row>
    <row r="46" spans="1:3" x14ac:dyDescent="0.25">
      <c r="A46" t="s">
        <v>16</v>
      </c>
      <c r="B46" t="s">
        <v>142</v>
      </c>
      <c r="C46" t="s">
        <v>159</v>
      </c>
    </row>
    <row r="47" spans="1:3" x14ac:dyDescent="0.25">
      <c r="A47" t="s">
        <v>16</v>
      </c>
      <c r="B47" t="s">
        <v>142</v>
      </c>
      <c r="C47" t="s">
        <v>143</v>
      </c>
    </row>
    <row r="48" spans="1:3" x14ac:dyDescent="0.25">
      <c r="A48" t="s">
        <v>16</v>
      </c>
      <c r="B48" t="s">
        <v>142</v>
      </c>
      <c r="C48" t="s">
        <v>160</v>
      </c>
    </row>
    <row r="49" spans="1:3" x14ac:dyDescent="0.25">
      <c r="A49" t="s">
        <v>16</v>
      </c>
      <c r="B49" t="s">
        <v>142</v>
      </c>
      <c r="C49" t="s">
        <v>161</v>
      </c>
    </row>
    <row r="50" spans="1:3" x14ac:dyDescent="0.25">
      <c r="A50" t="s">
        <v>19</v>
      </c>
      <c r="B50" t="s">
        <v>145</v>
      </c>
      <c r="C50" t="s">
        <v>151</v>
      </c>
    </row>
    <row r="51" spans="1:3" x14ac:dyDescent="0.25">
      <c r="A51" t="s">
        <v>19</v>
      </c>
      <c r="B51" t="s">
        <v>130</v>
      </c>
      <c r="C51" t="s">
        <v>140</v>
      </c>
    </row>
    <row r="52" spans="1:3" x14ac:dyDescent="0.25">
      <c r="A52" t="s">
        <v>19</v>
      </c>
      <c r="B52" t="s">
        <v>132</v>
      </c>
      <c r="C52" t="s">
        <v>162</v>
      </c>
    </row>
    <row r="53" spans="1:3" x14ac:dyDescent="0.25">
      <c r="A53" t="s">
        <v>19</v>
      </c>
      <c r="B53" t="s">
        <v>134</v>
      </c>
      <c r="C53" t="s">
        <v>163</v>
      </c>
    </row>
    <row r="54" spans="1:3" x14ac:dyDescent="0.25">
      <c r="A54" t="s">
        <v>19</v>
      </c>
      <c r="B54" t="s">
        <v>137</v>
      </c>
      <c r="C54" t="s">
        <v>164</v>
      </c>
    </row>
    <row r="55" spans="1:3" x14ac:dyDescent="0.25">
      <c r="A55" t="s">
        <v>19</v>
      </c>
      <c r="B55" t="s">
        <v>137</v>
      </c>
      <c r="C55" t="s">
        <v>165</v>
      </c>
    </row>
    <row r="56" spans="1:3" x14ac:dyDescent="0.25">
      <c r="A56" t="s">
        <v>19</v>
      </c>
      <c r="B56" t="s">
        <v>137</v>
      </c>
      <c r="C56" t="s">
        <v>140</v>
      </c>
    </row>
    <row r="57" spans="1:3" x14ac:dyDescent="0.25">
      <c r="A57" t="s">
        <v>19</v>
      </c>
      <c r="B57" t="s">
        <v>142</v>
      </c>
      <c r="C57" t="s">
        <v>140</v>
      </c>
    </row>
    <row r="58" spans="1:3" x14ac:dyDescent="0.25">
      <c r="A58" t="s">
        <v>20</v>
      </c>
      <c r="B58" t="s">
        <v>130</v>
      </c>
      <c r="C58" t="s">
        <v>166</v>
      </c>
    </row>
    <row r="59" spans="1:3" x14ac:dyDescent="0.25">
      <c r="A59" t="s">
        <v>20</v>
      </c>
      <c r="B59" t="s">
        <v>132</v>
      </c>
      <c r="C59" t="s">
        <v>167</v>
      </c>
    </row>
    <row r="60" spans="1:3" x14ac:dyDescent="0.25">
      <c r="A60" t="s">
        <v>20</v>
      </c>
      <c r="B60" t="s">
        <v>134</v>
      </c>
      <c r="C60" t="s">
        <v>168</v>
      </c>
    </row>
    <row r="61" spans="1:3" x14ac:dyDescent="0.25">
      <c r="A61" t="s">
        <v>20</v>
      </c>
      <c r="B61" t="s">
        <v>137</v>
      </c>
      <c r="C61" t="s">
        <v>166</v>
      </c>
    </row>
    <row r="62" spans="1:3" x14ac:dyDescent="0.25">
      <c r="A62" t="s">
        <v>20</v>
      </c>
      <c r="B62" t="s">
        <v>142</v>
      </c>
      <c r="C62" t="s">
        <v>166</v>
      </c>
    </row>
    <row r="63" spans="1:3" x14ac:dyDescent="0.25">
      <c r="A63" t="s">
        <v>22</v>
      </c>
      <c r="B63" t="s">
        <v>145</v>
      </c>
      <c r="C63" t="s">
        <v>144</v>
      </c>
    </row>
    <row r="64" spans="1:3" x14ac:dyDescent="0.25">
      <c r="A64" t="s">
        <v>22</v>
      </c>
      <c r="B64" t="s">
        <v>130</v>
      </c>
      <c r="C64" t="s">
        <v>131</v>
      </c>
    </row>
    <row r="65" spans="1:3" x14ac:dyDescent="0.25">
      <c r="A65" t="s">
        <v>22</v>
      </c>
      <c r="B65" t="s">
        <v>132</v>
      </c>
      <c r="C65" t="s">
        <v>133</v>
      </c>
    </row>
    <row r="66" spans="1:3" x14ac:dyDescent="0.25">
      <c r="A66" t="s">
        <v>22</v>
      </c>
      <c r="B66" t="s">
        <v>134</v>
      </c>
      <c r="C66" t="s">
        <v>146</v>
      </c>
    </row>
    <row r="67" spans="1:3" x14ac:dyDescent="0.25">
      <c r="A67" t="s">
        <v>22</v>
      </c>
      <c r="B67" t="s">
        <v>137</v>
      </c>
      <c r="C67" t="s">
        <v>169</v>
      </c>
    </row>
    <row r="68" spans="1:3" x14ac:dyDescent="0.25">
      <c r="A68" t="s">
        <v>22</v>
      </c>
      <c r="B68" t="s">
        <v>137</v>
      </c>
      <c r="C68" t="s">
        <v>170</v>
      </c>
    </row>
    <row r="69" spans="1:3" x14ac:dyDescent="0.25">
      <c r="A69" t="s">
        <v>22</v>
      </c>
      <c r="B69" t="s">
        <v>137</v>
      </c>
      <c r="C69" t="s">
        <v>131</v>
      </c>
    </row>
    <row r="70" spans="1:3" x14ac:dyDescent="0.25">
      <c r="A70" t="s">
        <v>22</v>
      </c>
      <c r="B70" t="s">
        <v>137</v>
      </c>
      <c r="C70" t="s">
        <v>171</v>
      </c>
    </row>
    <row r="71" spans="1:3" x14ac:dyDescent="0.25">
      <c r="A71" t="s">
        <v>22</v>
      </c>
      <c r="B71" t="s">
        <v>137</v>
      </c>
      <c r="C71" t="s">
        <v>172</v>
      </c>
    </row>
    <row r="72" spans="1:3" x14ac:dyDescent="0.25">
      <c r="A72" t="s">
        <v>22</v>
      </c>
      <c r="B72" t="s">
        <v>137</v>
      </c>
      <c r="C72" t="s">
        <v>144</v>
      </c>
    </row>
    <row r="73" spans="1:3" x14ac:dyDescent="0.25">
      <c r="A73" t="s">
        <v>22</v>
      </c>
      <c r="B73" t="s">
        <v>142</v>
      </c>
      <c r="C73" t="s">
        <v>131</v>
      </c>
    </row>
    <row r="74" spans="1:3" x14ac:dyDescent="0.25">
      <c r="A74" t="s">
        <v>22</v>
      </c>
      <c r="B74" t="s">
        <v>142</v>
      </c>
      <c r="C74" t="s">
        <v>170</v>
      </c>
    </row>
    <row r="75" spans="1:3" x14ac:dyDescent="0.25">
      <c r="A75" t="s">
        <v>22</v>
      </c>
      <c r="B75" t="s">
        <v>142</v>
      </c>
      <c r="C75" t="s">
        <v>144</v>
      </c>
    </row>
    <row r="76" spans="1:3" x14ac:dyDescent="0.25">
      <c r="A76" t="s">
        <v>23</v>
      </c>
      <c r="B76" t="s">
        <v>145</v>
      </c>
      <c r="C76" t="s">
        <v>173</v>
      </c>
    </row>
    <row r="77" spans="1:3" x14ac:dyDescent="0.25">
      <c r="A77" t="s">
        <v>23</v>
      </c>
      <c r="B77" t="s">
        <v>130</v>
      </c>
      <c r="C77" t="s">
        <v>166</v>
      </c>
    </row>
    <row r="78" spans="1:3" x14ac:dyDescent="0.25">
      <c r="A78" t="s">
        <v>23</v>
      </c>
      <c r="B78" t="s">
        <v>132</v>
      </c>
      <c r="C78" t="s">
        <v>167</v>
      </c>
    </row>
    <row r="79" spans="1:3" x14ac:dyDescent="0.25">
      <c r="A79" t="s">
        <v>23</v>
      </c>
      <c r="B79" t="s">
        <v>134</v>
      </c>
      <c r="C79" t="s">
        <v>174</v>
      </c>
    </row>
    <row r="80" spans="1:3" x14ac:dyDescent="0.25">
      <c r="A80" t="s">
        <v>23</v>
      </c>
      <c r="B80" t="s">
        <v>137</v>
      </c>
      <c r="C80" t="s">
        <v>166</v>
      </c>
    </row>
    <row r="81" spans="1:3" x14ac:dyDescent="0.25">
      <c r="A81" t="s">
        <v>23</v>
      </c>
      <c r="B81" t="s">
        <v>142</v>
      </c>
      <c r="C81" t="s">
        <v>166</v>
      </c>
    </row>
    <row r="82" spans="1:3" x14ac:dyDescent="0.25">
      <c r="A82" t="s">
        <v>23</v>
      </c>
      <c r="B82" t="s">
        <v>142</v>
      </c>
      <c r="C82" t="s">
        <v>175</v>
      </c>
    </row>
    <row r="83" spans="1:3" x14ac:dyDescent="0.25">
      <c r="A83" t="s">
        <v>23</v>
      </c>
      <c r="B83" t="s">
        <v>142</v>
      </c>
      <c r="C83" t="s">
        <v>173</v>
      </c>
    </row>
    <row r="84" spans="1:3" x14ac:dyDescent="0.25">
      <c r="A84" t="s">
        <v>24</v>
      </c>
      <c r="B84" t="s">
        <v>130</v>
      </c>
      <c r="C84" t="s">
        <v>140</v>
      </c>
    </row>
    <row r="85" spans="1:3" x14ac:dyDescent="0.25">
      <c r="A85" t="s">
        <v>24</v>
      </c>
      <c r="B85" t="s">
        <v>132</v>
      </c>
      <c r="C85" t="s">
        <v>162</v>
      </c>
    </row>
    <row r="86" spans="1:3" x14ac:dyDescent="0.25">
      <c r="A86" t="s">
        <v>24</v>
      </c>
      <c r="B86" t="s">
        <v>134</v>
      </c>
      <c r="C86" t="s">
        <v>176</v>
      </c>
    </row>
    <row r="87" spans="1:3" x14ac:dyDescent="0.25">
      <c r="A87" t="s">
        <v>24</v>
      </c>
      <c r="B87" t="s">
        <v>137</v>
      </c>
      <c r="C87" t="s">
        <v>177</v>
      </c>
    </row>
    <row r="88" spans="1:3" x14ac:dyDescent="0.25">
      <c r="A88" t="s">
        <v>24</v>
      </c>
      <c r="B88" t="s">
        <v>137</v>
      </c>
      <c r="C88" t="s">
        <v>140</v>
      </c>
    </row>
    <row r="89" spans="1:3" x14ac:dyDescent="0.25">
      <c r="A89" t="s">
        <v>24</v>
      </c>
      <c r="B89" t="s">
        <v>142</v>
      </c>
      <c r="C89" t="s">
        <v>143</v>
      </c>
    </row>
    <row r="90" spans="1:3" x14ac:dyDescent="0.25">
      <c r="A90" t="s">
        <v>24</v>
      </c>
      <c r="B90" t="s">
        <v>142</v>
      </c>
      <c r="C90" t="s">
        <v>140</v>
      </c>
    </row>
    <row r="91" spans="1:3" x14ac:dyDescent="0.25">
      <c r="A91" t="s">
        <v>25</v>
      </c>
      <c r="B91" t="s">
        <v>145</v>
      </c>
      <c r="C91" t="s">
        <v>164</v>
      </c>
    </row>
    <row r="92" spans="1:3" x14ac:dyDescent="0.25">
      <c r="A92" t="s">
        <v>25</v>
      </c>
      <c r="B92" t="s">
        <v>130</v>
      </c>
      <c r="C92" t="s">
        <v>143</v>
      </c>
    </row>
    <row r="93" spans="1:3" x14ac:dyDescent="0.25">
      <c r="A93" t="s">
        <v>25</v>
      </c>
      <c r="B93" t="s">
        <v>132</v>
      </c>
      <c r="C93" t="s">
        <v>167</v>
      </c>
    </row>
    <row r="94" spans="1:3" x14ac:dyDescent="0.25">
      <c r="A94" t="s">
        <v>25</v>
      </c>
      <c r="B94" t="s">
        <v>134</v>
      </c>
      <c r="C94" t="s">
        <v>178</v>
      </c>
    </row>
    <row r="95" spans="1:3" x14ac:dyDescent="0.25">
      <c r="A95" t="s">
        <v>25</v>
      </c>
      <c r="B95" t="s">
        <v>137</v>
      </c>
      <c r="C95" t="s">
        <v>143</v>
      </c>
    </row>
    <row r="96" spans="1:3" x14ac:dyDescent="0.25">
      <c r="A96" t="s">
        <v>25</v>
      </c>
      <c r="B96" t="s">
        <v>137</v>
      </c>
      <c r="C96" t="s">
        <v>164</v>
      </c>
    </row>
    <row r="97" spans="1:3" x14ac:dyDescent="0.25">
      <c r="A97" t="s">
        <v>25</v>
      </c>
      <c r="B97" t="s">
        <v>142</v>
      </c>
      <c r="C97" t="s">
        <v>143</v>
      </c>
    </row>
    <row r="98" spans="1:3" x14ac:dyDescent="0.25">
      <c r="A98" t="s">
        <v>25</v>
      </c>
      <c r="B98" t="s">
        <v>142</v>
      </c>
      <c r="C98" t="s">
        <v>179</v>
      </c>
    </row>
    <row r="99" spans="1:3" x14ac:dyDescent="0.25">
      <c r="A99" t="s">
        <v>25</v>
      </c>
      <c r="B99" t="s">
        <v>142</v>
      </c>
      <c r="C99" t="s">
        <v>164</v>
      </c>
    </row>
    <row r="100" spans="1:3" x14ac:dyDescent="0.25">
      <c r="A100" t="s">
        <v>27</v>
      </c>
      <c r="B100" t="s">
        <v>130</v>
      </c>
      <c r="C100" t="s">
        <v>151</v>
      </c>
    </row>
    <row r="101" spans="1:3" x14ac:dyDescent="0.25">
      <c r="A101" t="s">
        <v>27</v>
      </c>
      <c r="B101" t="s">
        <v>132</v>
      </c>
      <c r="C101" t="s">
        <v>133</v>
      </c>
    </row>
    <row r="102" spans="1:3" x14ac:dyDescent="0.25">
      <c r="A102" t="s">
        <v>27</v>
      </c>
      <c r="B102" t="s">
        <v>134</v>
      </c>
      <c r="C102" t="s">
        <v>146</v>
      </c>
    </row>
    <row r="103" spans="1:3" x14ac:dyDescent="0.25">
      <c r="A103" t="s">
        <v>27</v>
      </c>
      <c r="B103" t="s">
        <v>137</v>
      </c>
      <c r="C103" t="s">
        <v>180</v>
      </c>
    </row>
    <row r="104" spans="1:3" x14ac:dyDescent="0.25">
      <c r="A104" t="s">
        <v>27</v>
      </c>
      <c r="B104" t="s">
        <v>142</v>
      </c>
      <c r="C104" t="s">
        <v>131</v>
      </c>
    </row>
    <row r="105" spans="1:3" x14ac:dyDescent="0.25">
      <c r="A105" t="s">
        <v>27</v>
      </c>
      <c r="B105" t="s">
        <v>142</v>
      </c>
      <c r="C105" t="s">
        <v>140</v>
      </c>
    </row>
    <row r="106" spans="1:3" x14ac:dyDescent="0.25">
      <c r="A106" t="s">
        <v>27</v>
      </c>
      <c r="B106" t="s">
        <v>142</v>
      </c>
      <c r="C106" t="s">
        <v>151</v>
      </c>
    </row>
    <row r="107" spans="1:3" x14ac:dyDescent="0.25">
      <c r="A107" t="s">
        <v>28</v>
      </c>
      <c r="B107" t="s">
        <v>145</v>
      </c>
      <c r="C107" t="s">
        <v>174</v>
      </c>
    </row>
    <row r="108" spans="1:3" x14ac:dyDescent="0.25">
      <c r="A108" t="s">
        <v>28</v>
      </c>
      <c r="B108" t="s">
        <v>130</v>
      </c>
      <c r="C108" t="s">
        <v>131</v>
      </c>
    </row>
    <row r="109" spans="1:3" x14ac:dyDescent="0.25">
      <c r="A109" t="s">
        <v>28</v>
      </c>
      <c r="B109" t="s">
        <v>132</v>
      </c>
      <c r="C109" t="s">
        <v>167</v>
      </c>
    </row>
    <row r="110" spans="1:3" x14ac:dyDescent="0.25">
      <c r="A110" t="s">
        <v>28</v>
      </c>
      <c r="B110" t="s">
        <v>134</v>
      </c>
      <c r="C110" t="s">
        <v>181</v>
      </c>
    </row>
    <row r="111" spans="1:3" x14ac:dyDescent="0.25">
      <c r="A111" t="s">
        <v>28</v>
      </c>
      <c r="B111" t="s">
        <v>137</v>
      </c>
      <c r="C111" t="s">
        <v>182</v>
      </c>
    </row>
    <row r="112" spans="1:3" x14ac:dyDescent="0.25">
      <c r="A112" t="s">
        <v>28</v>
      </c>
      <c r="B112" t="s">
        <v>142</v>
      </c>
      <c r="C112" t="s">
        <v>169</v>
      </c>
    </row>
    <row r="113" spans="1:3" x14ac:dyDescent="0.25">
      <c r="A113" t="s">
        <v>28</v>
      </c>
      <c r="B113" t="s">
        <v>142</v>
      </c>
      <c r="C113" t="s">
        <v>131</v>
      </c>
    </row>
    <row r="114" spans="1:3" x14ac:dyDescent="0.25">
      <c r="A114" t="s">
        <v>28</v>
      </c>
      <c r="B114" t="s">
        <v>142</v>
      </c>
      <c r="C114" t="s">
        <v>174</v>
      </c>
    </row>
    <row r="115" spans="1:3" x14ac:dyDescent="0.25">
      <c r="A115" t="s">
        <v>29</v>
      </c>
      <c r="B115" t="s">
        <v>145</v>
      </c>
      <c r="C115" t="s">
        <v>183</v>
      </c>
    </row>
    <row r="116" spans="1:3" x14ac:dyDescent="0.25">
      <c r="A116" t="s">
        <v>29</v>
      </c>
      <c r="B116" t="s">
        <v>130</v>
      </c>
      <c r="C116" t="s">
        <v>183</v>
      </c>
    </row>
    <row r="117" spans="1:3" x14ac:dyDescent="0.25">
      <c r="A117" t="s">
        <v>29</v>
      </c>
      <c r="B117" t="s">
        <v>130</v>
      </c>
      <c r="C117" t="s">
        <v>183</v>
      </c>
    </row>
    <row r="118" spans="1:3" x14ac:dyDescent="0.25">
      <c r="A118" t="s">
        <v>29</v>
      </c>
      <c r="B118" t="s">
        <v>132</v>
      </c>
      <c r="C118" t="s">
        <v>183</v>
      </c>
    </row>
    <row r="119" spans="1:3" x14ac:dyDescent="0.25">
      <c r="A119" t="s">
        <v>29</v>
      </c>
      <c r="B119" t="s">
        <v>134</v>
      </c>
      <c r="C119" t="s">
        <v>183</v>
      </c>
    </row>
    <row r="120" spans="1:3" x14ac:dyDescent="0.25">
      <c r="A120" t="s">
        <v>29</v>
      </c>
      <c r="B120" t="s">
        <v>137</v>
      </c>
      <c r="C120" t="s">
        <v>183</v>
      </c>
    </row>
    <row r="121" spans="1:3" x14ac:dyDescent="0.25">
      <c r="A121" t="s">
        <v>29</v>
      </c>
      <c r="B121" t="s">
        <v>137</v>
      </c>
      <c r="C121" t="s">
        <v>183</v>
      </c>
    </row>
    <row r="122" spans="1:3" x14ac:dyDescent="0.25">
      <c r="A122" t="s">
        <v>29</v>
      </c>
      <c r="B122" t="s">
        <v>137</v>
      </c>
      <c r="C122" t="s">
        <v>183</v>
      </c>
    </row>
    <row r="123" spans="1:3" x14ac:dyDescent="0.25">
      <c r="A123" t="s">
        <v>29</v>
      </c>
      <c r="B123" t="s">
        <v>137</v>
      </c>
      <c r="C123" t="s">
        <v>183</v>
      </c>
    </row>
    <row r="124" spans="1:3" x14ac:dyDescent="0.25">
      <c r="A124" t="s">
        <v>29</v>
      </c>
      <c r="B124" t="s">
        <v>142</v>
      </c>
      <c r="C124" t="s">
        <v>183</v>
      </c>
    </row>
    <row r="125" spans="1:3" x14ac:dyDescent="0.25">
      <c r="A125" t="s">
        <v>30</v>
      </c>
      <c r="B125" t="s">
        <v>130</v>
      </c>
      <c r="C125" t="s">
        <v>184</v>
      </c>
    </row>
    <row r="126" spans="1:3" x14ac:dyDescent="0.25">
      <c r="A126" t="s">
        <v>30</v>
      </c>
      <c r="B126" t="s">
        <v>132</v>
      </c>
      <c r="C126" t="s">
        <v>133</v>
      </c>
    </row>
    <row r="127" spans="1:3" x14ac:dyDescent="0.25">
      <c r="A127" t="s">
        <v>30</v>
      </c>
      <c r="B127" t="s">
        <v>134</v>
      </c>
      <c r="C127" t="s">
        <v>185</v>
      </c>
    </row>
    <row r="128" spans="1:3" x14ac:dyDescent="0.25">
      <c r="A128" t="s">
        <v>30</v>
      </c>
      <c r="B128" t="s">
        <v>137</v>
      </c>
      <c r="C128" t="s">
        <v>186</v>
      </c>
    </row>
    <row r="129" spans="1:3" x14ac:dyDescent="0.25">
      <c r="A129" t="s">
        <v>30</v>
      </c>
      <c r="B129" t="s">
        <v>137</v>
      </c>
      <c r="C129" t="s">
        <v>158</v>
      </c>
    </row>
    <row r="130" spans="1:3" x14ac:dyDescent="0.25">
      <c r="A130" t="s">
        <v>30</v>
      </c>
      <c r="B130" t="s">
        <v>137</v>
      </c>
      <c r="C130" t="s">
        <v>184</v>
      </c>
    </row>
    <row r="131" spans="1:3" x14ac:dyDescent="0.25">
      <c r="A131" t="s">
        <v>30</v>
      </c>
      <c r="B131" t="s">
        <v>142</v>
      </c>
      <c r="C131" t="s">
        <v>186</v>
      </c>
    </row>
    <row r="132" spans="1:3" x14ac:dyDescent="0.25">
      <c r="A132" t="s">
        <v>30</v>
      </c>
      <c r="B132" t="s">
        <v>142</v>
      </c>
      <c r="C132" t="s">
        <v>158</v>
      </c>
    </row>
    <row r="133" spans="1:3" x14ac:dyDescent="0.25">
      <c r="A133" t="s">
        <v>30</v>
      </c>
      <c r="B133" t="s">
        <v>142</v>
      </c>
      <c r="C133" t="s">
        <v>184</v>
      </c>
    </row>
    <row r="134" spans="1:3" x14ac:dyDescent="0.25">
      <c r="A134" t="s">
        <v>31</v>
      </c>
      <c r="B134" t="s">
        <v>145</v>
      </c>
      <c r="C134" t="s">
        <v>187</v>
      </c>
    </row>
    <row r="135" spans="1:3" x14ac:dyDescent="0.25">
      <c r="A135" t="s">
        <v>31</v>
      </c>
      <c r="B135" t="s">
        <v>130</v>
      </c>
      <c r="C135" t="s">
        <v>143</v>
      </c>
    </row>
    <row r="136" spans="1:3" x14ac:dyDescent="0.25">
      <c r="A136" t="s">
        <v>31</v>
      </c>
      <c r="B136" t="s">
        <v>132</v>
      </c>
      <c r="C136" t="s">
        <v>167</v>
      </c>
    </row>
    <row r="137" spans="1:3" x14ac:dyDescent="0.25">
      <c r="A137" t="s">
        <v>31</v>
      </c>
      <c r="B137" t="s">
        <v>134</v>
      </c>
      <c r="C137" t="s">
        <v>178</v>
      </c>
    </row>
    <row r="138" spans="1:3" x14ac:dyDescent="0.25">
      <c r="A138" t="s">
        <v>31</v>
      </c>
      <c r="B138" t="s">
        <v>137</v>
      </c>
      <c r="C138" t="s">
        <v>188</v>
      </c>
    </row>
    <row r="139" spans="1:3" x14ac:dyDescent="0.25">
      <c r="A139" t="s">
        <v>31</v>
      </c>
      <c r="B139" t="s">
        <v>137</v>
      </c>
      <c r="C139" t="s">
        <v>143</v>
      </c>
    </row>
    <row r="140" spans="1:3" x14ac:dyDescent="0.25">
      <c r="A140" t="s">
        <v>31</v>
      </c>
      <c r="B140" t="s">
        <v>137</v>
      </c>
      <c r="C140" t="s">
        <v>189</v>
      </c>
    </row>
    <row r="141" spans="1:3" x14ac:dyDescent="0.25">
      <c r="A141" t="s">
        <v>31</v>
      </c>
      <c r="B141" t="s">
        <v>142</v>
      </c>
      <c r="C141" t="s">
        <v>190</v>
      </c>
    </row>
    <row r="142" spans="1:3" x14ac:dyDescent="0.25">
      <c r="A142" t="s">
        <v>31</v>
      </c>
      <c r="B142" t="s">
        <v>142</v>
      </c>
      <c r="C142" t="s">
        <v>143</v>
      </c>
    </row>
    <row r="143" spans="1:3" x14ac:dyDescent="0.25">
      <c r="A143" t="s">
        <v>32</v>
      </c>
      <c r="B143" t="s">
        <v>130</v>
      </c>
      <c r="C143" t="s">
        <v>191</v>
      </c>
    </row>
    <row r="144" spans="1:3" x14ac:dyDescent="0.25">
      <c r="A144" t="s">
        <v>32</v>
      </c>
      <c r="B144" t="s">
        <v>132</v>
      </c>
      <c r="C144" t="s">
        <v>192</v>
      </c>
    </row>
    <row r="145" spans="1:3" x14ac:dyDescent="0.25">
      <c r="A145" t="s">
        <v>32</v>
      </c>
      <c r="B145" t="s">
        <v>132</v>
      </c>
      <c r="C145" t="s">
        <v>193</v>
      </c>
    </row>
    <row r="146" spans="1:3" x14ac:dyDescent="0.25">
      <c r="A146" t="s">
        <v>32</v>
      </c>
      <c r="B146" t="s">
        <v>134</v>
      </c>
      <c r="C146" t="s">
        <v>181</v>
      </c>
    </row>
    <row r="147" spans="1:3" x14ac:dyDescent="0.25">
      <c r="A147" t="s">
        <v>32</v>
      </c>
      <c r="B147" t="s">
        <v>137</v>
      </c>
      <c r="C147" t="s">
        <v>189</v>
      </c>
    </row>
    <row r="148" spans="1:3" x14ac:dyDescent="0.25">
      <c r="A148" t="s">
        <v>32</v>
      </c>
      <c r="B148" t="s">
        <v>142</v>
      </c>
      <c r="C148" t="s">
        <v>194</v>
      </c>
    </row>
    <row r="149" spans="1:3" x14ac:dyDescent="0.25">
      <c r="A149" t="s">
        <v>32</v>
      </c>
      <c r="B149" t="s">
        <v>142</v>
      </c>
      <c r="C149" t="s">
        <v>189</v>
      </c>
    </row>
    <row r="150" spans="1:3" x14ac:dyDescent="0.25">
      <c r="A150" t="s">
        <v>32</v>
      </c>
      <c r="B150" t="s">
        <v>142</v>
      </c>
      <c r="C150" t="s">
        <v>195</v>
      </c>
    </row>
    <row r="151" spans="1:3" x14ac:dyDescent="0.25">
      <c r="A151" t="s">
        <v>32</v>
      </c>
      <c r="B151" t="s">
        <v>142</v>
      </c>
      <c r="C151" t="s">
        <v>164</v>
      </c>
    </row>
    <row r="152" spans="1:3" x14ac:dyDescent="0.25">
      <c r="A152" t="s">
        <v>32</v>
      </c>
      <c r="B152" t="s">
        <v>142</v>
      </c>
      <c r="C152" t="s">
        <v>191</v>
      </c>
    </row>
    <row r="153" spans="1:3" x14ac:dyDescent="0.25">
      <c r="A153" t="s">
        <v>33</v>
      </c>
      <c r="B153" t="s">
        <v>145</v>
      </c>
      <c r="C153" t="s">
        <v>196</v>
      </c>
    </row>
    <row r="154" spans="1:3" x14ac:dyDescent="0.25">
      <c r="A154" t="s">
        <v>33</v>
      </c>
      <c r="B154" t="s">
        <v>130</v>
      </c>
      <c r="C154" t="s">
        <v>140</v>
      </c>
    </row>
    <row r="155" spans="1:3" x14ac:dyDescent="0.25">
      <c r="A155" t="s">
        <v>33</v>
      </c>
      <c r="B155" t="s">
        <v>132</v>
      </c>
      <c r="C155" t="s">
        <v>162</v>
      </c>
    </row>
    <row r="156" spans="1:3" x14ac:dyDescent="0.25">
      <c r="A156" t="s">
        <v>33</v>
      </c>
      <c r="B156" t="s">
        <v>134</v>
      </c>
      <c r="C156" t="s">
        <v>197</v>
      </c>
    </row>
    <row r="157" spans="1:3" x14ac:dyDescent="0.25">
      <c r="A157" t="s">
        <v>33</v>
      </c>
      <c r="B157" t="s">
        <v>137</v>
      </c>
      <c r="C157" t="s">
        <v>140</v>
      </c>
    </row>
    <row r="158" spans="1:3" x14ac:dyDescent="0.25">
      <c r="A158" t="s">
        <v>33</v>
      </c>
      <c r="B158" t="s">
        <v>137</v>
      </c>
      <c r="C158" t="s">
        <v>198</v>
      </c>
    </row>
    <row r="159" spans="1:3" x14ac:dyDescent="0.25">
      <c r="A159" t="s">
        <v>33</v>
      </c>
      <c r="B159" t="s">
        <v>142</v>
      </c>
      <c r="C159" t="s">
        <v>140</v>
      </c>
    </row>
    <row r="160" spans="1:3" x14ac:dyDescent="0.25">
      <c r="A160" t="s">
        <v>34</v>
      </c>
      <c r="B160" t="s">
        <v>130</v>
      </c>
      <c r="C160" t="s">
        <v>199</v>
      </c>
    </row>
    <row r="161" spans="1:3" x14ac:dyDescent="0.25">
      <c r="A161" t="s">
        <v>34</v>
      </c>
      <c r="B161" t="s">
        <v>132</v>
      </c>
      <c r="C161" t="s">
        <v>133</v>
      </c>
    </row>
    <row r="162" spans="1:3" x14ac:dyDescent="0.25">
      <c r="A162" t="s">
        <v>34</v>
      </c>
      <c r="B162" t="s">
        <v>134</v>
      </c>
      <c r="C162" t="s">
        <v>147</v>
      </c>
    </row>
    <row r="163" spans="1:3" x14ac:dyDescent="0.25">
      <c r="A163" t="s">
        <v>34</v>
      </c>
      <c r="B163" t="s">
        <v>137</v>
      </c>
      <c r="C163" t="s">
        <v>172</v>
      </c>
    </row>
    <row r="164" spans="1:3" x14ac:dyDescent="0.25">
      <c r="A164" t="s">
        <v>34</v>
      </c>
      <c r="B164" t="s">
        <v>137</v>
      </c>
      <c r="C164" t="s">
        <v>164</v>
      </c>
    </row>
    <row r="165" spans="1:3" x14ac:dyDescent="0.25">
      <c r="A165" t="s">
        <v>34</v>
      </c>
      <c r="B165" t="s">
        <v>137</v>
      </c>
      <c r="C165" t="s">
        <v>200</v>
      </c>
    </row>
    <row r="166" spans="1:3" x14ac:dyDescent="0.25">
      <c r="A166" t="s">
        <v>34</v>
      </c>
      <c r="B166" t="s">
        <v>142</v>
      </c>
      <c r="C166" t="s">
        <v>199</v>
      </c>
    </row>
    <row r="167" spans="1:3" x14ac:dyDescent="0.25">
      <c r="A167" t="s">
        <v>34</v>
      </c>
      <c r="B167" t="s">
        <v>142</v>
      </c>
      <c r="C167" t="s">
        <v>201</v>
      </c>
    </row>
    <row r="168" spans="1:3" x14ac:dyDescent="0.25">
      <c r="A168" t="s">
        <v>34</v>
      </c>
      <c r="B168" t="s">
        <v>142</v>
      </c>
      <c r="C168" t="s">
        <v>182</v>
      </c>
    </row>
    <row r="169" spans="1:3" x14ac:dyDescent="0.25">
      <c r="A169" t="s">
        <v>34</v>
      </c>
      <c r="B169" t="s">
        <v>142</v>
      </c>
      <c r="C169" t="s">
        <v>202</v>
      </c>
    </row>
    <row r="170" spans="1:3" x14ac:dyDescent="0.25">
      <c r="A170" t="s">
        <v>35</v>
      </c>
      <c r="B170" t="s">
        <v>145</v>
      </c>
      <c r="C170" t="s">
        <v>203</v>
      </c>
    </row>
    <row r="171" spans="1:3" x14ac:dyDescent="0.25">
      <c r="A171" t="s">
        <v>35</v>
      </c>
      <c r="B171" t="s">
        <v>130</v>
      </c>
      <c r="C171" t="s">
        <v>151</v>
      </c>
    </row>
    <row r="172" spans="1:3" x14ac:dyDescent="0.25">
      <c r="A172" t="s">
        <v>35</v>
      </c>
      <c r="B172" t="s">
        <v>132</v>
      </c>
      <c r="C172" t="s">
        <v>167</v>
      </c>
    </row>
    <row r="173" spans="1:3" x14ac:dyDescent="0.25">
      <c r="A173" t="s">
        <v>35</v>
      </c>
      <c r="B173" t="s">
        <v>134</v>
      </c>
      <c r="C173" t="s">
        <v>146</v>
      </c>
    </row>
    <row r="174" spans="1:3" x14ac:dyDescent="0.25">
      <c r="A174" t="s">
        <v>35</v>
      </c>
      <c r="B174" t="s">
        <v>137</v>
      </c>
      <c r="C174" t="s">
        <v>204</v>
      </c>
    </row>
    <row r="175" spans="1:3" x14ac:dyDescent="0.25">
      <c r="A175" t="s">
        <v>35</v>
      </c>
      <c r="B175" t="s">
        <v>137</v>
      </c>
      <c r="C175" t="s">
        <v>203</v>
      </c>
    </row>
    <row r="176" spans="1:3" x14ac:dyDescent="0.25">
      <c r="A176" t="s">
        <v>35</v>
      </c>
      <c r="B176" t="s">
        <v>142</v>
      </c>
      <c r="C176" t="s">
        <v>204</v>
      </c>
    </row>
    <row r="177" spans="1:3" x14ac:dyDescent="0.25">
      <c r="A177" t="s">
        <v>35</v>
      </c>
      <c r="B177" t="s">
        <v>142</v>
      </c>
      <c r="C177" t="s">
        <v>205</v>
      </c>
    </row>
    <row r="178" spans="1:3" x14ac:dyDescent="0.25">
      <c r="A178" t="s">
        <v>35</v>
      </c>
      <c r="B178" t="s">
        <v>142</v>
      </c>
      <c r="C178" t="s">
        <v>203</v>
      </c>
    </row>
    <row r="179" spans="1:3" x14ac:dyDescent="0.25">
      <c r="A179" t="s">
        <v>35</v>
      </c>
      <c r="B179" t="s">
        <v>142</v>
      </c>
      <c r="C179" t="s">
        <v>151</v>
      </c>
    </row>
    <row r="180" spans="1:3" x14ac:dyDescent="0.25">
      <c r="A180" t="s">
        <v>36</v>
      </c>
      <c r="B180" t="s">
        <v>130</v>
      </c>
      <c r="C180" t="s">
        <v>166</v>
      </c>
    </row>
    <row r="181" spans="1:3" x14ac:dyDescent="0.25">
      <c r="A181" t="s">
        <v>36</v>
      </c>
      <c r="B181" t="s">
        <v>132</v>
      </c>
      <c r="C181" t="s">
        <v>167</v>
      </c>
    </row>
    <row r="182" spans="1:3" x14ac:dyDescent="0.25">
      <c r="A182" t="s">
        <v>36</v>
      </c>
      <c r="B182" t="s">
        <v>134</v>
      </c>
      <c r="C182" t="s">
        <v>206</v>
      </c>
    </row>
    <row r="183" spans="1:3" x14ac:dyDescent="0.25">
      <c r="A183" t="s">
        <v>36</v>
      </c>
      <c r="B183" t="s">
        <v>134</v>
      </c>
      <c r="C183" t="s">
        <v>168</v>
      </c>
    </row>
    <row r="184" spans="1:3" x14ac:dyDescent="0.25">
      <c r="A184" t="s">
        <v>36</v>
      </c>
      <c r="B184" t="s">
        <v>137</v>
      </c>
      <c r="C184" t="s">
        <v>166</v>
      </c>
    </row>
    <row r="185" spans="1:3" x14ac:dyDescent="0.25">
      <c r="A185" t="s">
        <v>36</v>
      </c>
      <c r="B185" t="s">
        <v>142</v>
      </c>
      <c r="C185" t="s">
        <v>166</v>
      </c>
    </row>
    <row r="186" spans="1:3" x14ac:dyDescent="0.25">
      <c r="A186" t="s">
        <v>37</v>
      </c>
      <c r="B186" t="s">
        <v>130</v>
      </c>
      <c r="C186" t="s">
        <v>188</v>
      </c>
    </row>
    <row r="187" spans="1:3" x14ac:dyDescent="0.25">
      <c r="A187" t="s">
        <v>37</v>
      </c>
      <c r="B187" t="s">
        <v>132</v>
      </c>
      <c r="C187" t="s">
        <v>133</v>
      </c>
    </row>
    <row r="188" spans="1:3" x14ac:dyDescent="0.25">
      <c r="A188" t="s">
        <v>37</v>
      </c>
      <c r="B188" t="s">
        <v>134</v>
      </c>
      <c r="C188" t="s">
        <v>207</v>
      </c>
    </row>
    <row r="189" spans="1:3" x14ac:dyDescent="0.25">
      <c r="A189" t="s">
        <v>37</v>
      </c>
      <c r="B189" t="s">
        <v>134</v>
      </c>
      <c r="C189" t="s">
        <v>178</v>
      </c>
    </row>
    <row r="190" spans="1:3" x14ac:dyDescent="0.25">
      <c r="A190" t="s">
        <v>37</v>
      </c>
      <c r="B190" t="s">
        <v>137</v>
      </c>
      <c r="C190" t="s">
        <v>208</v>
      </c>
    </row>
    <row r="191" spans="1:3" x14ac:dyDescent="0.25">
      <c r="A191" t="s">
        <v>37</v>
      </c>
      <c r="B191" t="s">
        <v>137</v>
      </c>
      <c r="C191" t="s">
        <v>140</v>
      </c>
    </row>
    <row r="192" spans="1:3" x14ac:dyDescent="0.25">
      <c r="A192" t="s">
        <v>37</v>
      </c>
      <c r="B192" t="s">
        <v>142</v>
      </c>
      <c r="C192" t="s">
        <v>188</v>
      </c>
    </row>
    <row r="193" spans="1:3" x14ac:dyDescent="0.25">
      <c r="A193" t="s">
        <v>37</v>
      </c>
      <c r="B193" t="s">
        <v>142</v>
      </c>
      <c r="C193" t="s">
        <v>208</v>
      </c>
    </row>
    <row r="194" spans="1:3" x14ac:dyDescent="0.25">
      <c r="A194" t="s">
        <v>37</v>
      </c>
      <c r="B194" t="s">
        <v>142</v>
      </c>
      <c r="C194" t="s">
        <v>209</v>
      </c>
    </row>
    <row r="195" spans="1:3" x14ac:dyDescent="0.25">
      <c r="A195" t="s">
        <v>37</v>
      </c>
      <c r="B195" t="s">
        <v>142</v>
      </c>
      <c r="C195" t="s">
        <v>210</v>
      </c>
    </row>
    <row r="196" spans="1:3" x14ac:dyDescent="0.25">
      <c r="A196" t="s">
        <v>37</v>
      </c>
      <c r="B196" t="s">
        <v>142</v>
      </c>
      <c r="C196" t="s">
        <v>211</v>
      </c>
    </row>
    <row r="197" spans="1:3" x14ac:dyDescent="0.25">
      <c r="A197" t="s">
        <v>37</v>
      </c>
      <c r="B197" t="s">
        <v>142</v>
      </c>
      <c r="C197" t="s">
        <v>131</v>
      </c>
    </row>
    <row r="198" spans="1:3" x14ac:dyDescent="0.25">
      <c r="A198" t="s">
        <v>37</v>
      </c>
      <c r="B198" t="s">
        <v>142</v>
      </c>
      <c r="C198" t="s">
        <v>212</v>
      </c>
    </row>
    <row r="199" spans="1:3" x14ac:dyDescent="0.25">
      <c r="A199" t="s">
        <v>37</v>
      </c>
      <c r="B199" t="s">
        <v>142</v>
      </c>
      <c r="C199" t="s">
        <v>140</v>
      </c>
    </row>
    <row r="200" spans="1:3" x14ac:dyDescent="0.25">
      <c r="A200" t="s">
        <v>38</v>
      </c>
      <c r="B200" t="s">
        <v>130</v>
      </c>
      <c r="C200" t="s">
        <v>184</v>
      </c>
    </row>
    <row r="201" spans="1:3" x14ac:dyDescent="0.25">
      <c r="A201" t="s">
        <v>38</v>
      </c>
      <c r="B201" t="s">
        <v>132</v>
      </c>
      <c r="C201" t="s">
        <v>192</v>
      </c>
    </row>
    <row r="202" spans="1:3" x14ac:dyDescent="0.25">
      <c r="A202" t="s">
        <v>38</v>
      </c>
      <c r="B202" t="s">
        <v>132</v>
      </c>
      <c r="C202" t="s">
        <v>193</v>
      </c>
    </row>
    <row r="203" spans="1:3" x14ac:dyDescent="0.25">
      <c r="A203" t="s">
        <v>38</v>
      </c>
      <c r="B203" t="s">
        <v>134</v>
      </c>
      <c r="C203" t="s">
        <v>185</v>
      </c>
    </row>
    <row r="204" spans="1:3" x14ac:dyDescent="0.25">
      <c r="A204" t="s">
        <v>38</v>
      </c>
      <c r="B204" t="s">
        <v>137</v>
      </c>
      <c r="C204" t="s">
        <v>213</v>
      </c>
    </row>
    <row r="205" spans="1:3" x14ac:dyDescent="0.25">
      <c r="A205" t="s">
        <v>38</v>
      </c>
      <c r="B205" t="s">
        <v>137</v>
      </c>
      <c r="C205" t="s">
        <v>214</v>
      </c>
    </row>
    <row r="206" spans="1:3" x14ac:dyDescent="0.25">
      <c r="A206" t="s">
        <v>38</v>
      </c>
      <c r="B206" t="s">
        <v>137</v>
      </c>
      <c r="C206" t="s">
        <v>184</v>
      </c>
    </row>
    <row r="207" spans="1:3" x14ac:dyDescent="0.25">
      <c r="A207" t="s">
        <v>38</v>
      </c>
      <c r="B207" t="s">
        <v>142</v>
      </c>
      <c r="C207" t="s">
        <v>213</v>
      </c>
    </row>
    <row r="208" spans="1:3" x14ac:dyDescent="0.25">
      <c r="A208" t="s">
        <v>38</v>
      </c>
      <c r="B208" t="s">
        <v>142</v>
      </c>
      <c r="C208" t="s">
        <v>214</v>
      </c>
    </row>
    <row r="209" spans="1:3" x14ac:dyDescent="0.25">
      <c r="A209" t="s">
        <v>38</v>
      </c>
      <c r="B209" t="s">
        <v>142</v>
      </c>
      <c r="C209" t="s">
        <v>184</v>
      </c>
    </row>
    <row r="210" spans="1:3" x14ac:dyDescent="0.25">
      <c r="A210" t="s">
        <v>39</v>
      </c>
      <c r="B210" t="s">
        <v>145</v>
      </c>
      <c r="C210" t="s">
        <v>215</v>
      </c>
    </row>
    <row r="211" spans="1:3" x14ac:dyDescent="0.25">
      <c r="A211" t="s">
        <v>39</v>
      </c>
      <c r="B211" t="s">
        <v>130</v>
      </c>
      <c r="C211" t="s">
        <v>143</v>
      </c>
    </row>
    <row r="212" spans="1:3" x14ac:dyDescent="0.25">
      <c r="A212" t="s">
        <v>39</v>
      </c>
      <c r="B212" t="s">
        <v>132</v>
      </c>
      <c r="C212" t="s">
        <v>216</v>
      </c>
    </row>
    <row r="213" spans="1:3" x14ac:dyDescent="0.25">
      <c r="A213" t="s">
        <v>39</v>
      </c>
      <c r="B213" t="s">
        <v>132</v>
      </c>
      <c r="C213" t="s">
        <v>217</v>
      </c>
    </row>
    <row r="214" spans="1:3" x14ac:dyDescent="0.25">
      <c r="A214" t="s">
        <v>39</v>
      </c>
      <c r="B214" t="s">
        <v>134</v>
      </c>
      <c r="C214" t="s">
        <v>218</v>
      </c>
    </row>
    <row r="215" spans="1:3" x14ac:dyDescent="0.25">
      <c r="A215" t="s">
        <v>39</v>
      </c>
      <c r="B215" t="s">
        <v>137</v>
      </c>
      <c r="C215" t="s">
        <v>143</v>
      </c>
    </row>
    <row r="216" spans="1:3" x14ac:dyDescent="0.25">
      <c r="A216" t="s">
        <v>39</v>
      </c>
      <c r="B216" t="s">
        <v>137</v>
      </c>
      <c r="C216" t="s">
        <v>219</v>
      </c>
    </row>
    <row r="217" spans="1:3" x14ac:dyDescent="0.25">
      <c r="A217" t="s">
        <v>39</v>
      </c>
      <c r="B217" t="s">
        <v>137</v>
      </c>
      <c r="C217" t="s">
        <v>215</v>
      </c>
    </row>
    <row r="218" spans="1:3" x14ac:dyDescent="0.25">
      <c r="A218" t="s">
        <v>39</v>
      </c>
      <c r="B218" t="s">
        <v>142</v>
      </c>
      <c r="C218" t="s">
        <v>143</v>
      </c>
    </row>
    <row r="219" spans="1:3" x14ac:dyDescent="0.25">
      <c r="A219" t="s">
        <v>39</v>
      </c>
      <c r="B219" t="s">
        <v>142</v>
      </c>
      <c r="C219" t="s">
        <v>219</v>
      </c>
    </row>
    <row r="220" spans="1:3" x14ac:dyDescent="0.25">
      <c r="A220" t="s">
        <v>39</v>
      </c>
      <c r="B220" t="s">
        <v>142</v>
      </c>
      <c r="C220" t="s">
        <v>215</v>
      </c>
    </row>
    <row r="221" spans="1:3" x14ac:dyDescent="0.25">
      <c r="A221" t="s">
        <v>40</v>
      </c>
      <c r="B221" t="s">
        <v>130</v>
      </c>
      <c r="C221" t="s">
        <v>220</v>
      </c>
    </row>
    <row r="222" spans="1:3" x14ac:dyDescent="0.25">
      <c r="A222" t="s">
        <v>40</v>
      </c>
      <c r="B222" t="s">
        <v>132</v>
      </c>
      <c r="C222" t="s">
        <v>220</v>
      </c>
    </row>
    <row r="223" spans="1:3" x14ac:dyDescent="0.25">
      <c r="A223" t="s">
        <v>40</v>
      </c>
      <c r="B223" t="s">
        <v>134</v>
      </c>
      <c r="C223" t="s">
        <v>220</v>
      </c>
    </row>
    <row r="224" spans="1:3" x14ac:dyDescent="0.25">
      <c r="A224" t="s">
        <v>40</v>
      </c>
      <c r="B224" t="s">
        <v>137</v>
      </c>
      <c r="C224" t="s">
        <v>220</v>
      </c>
    </row>
    <row r="225" spans="1:3" x14ac:dyDescent="0.25">
      <c r="A225" t="s">
        <v>40</v>
      </c>
      <c r="B225" t="s">
        <v>137</v>
      </c>
      <c r="C225" t="s">
        <v>220</v>
      </c>
    </row>
    <row r="226" spans="1:3" x14ac:dyDescent="0.25">
      <c r="A226" t="s">
        <v>40</v>
      </c>
      <c r="B226" t="s">
        <v>142</v>
      </c>
      <c r="C226" t="s">
        <v>220</v>
      </c>
    </row>
    <row r="227" spans="1:3" x14ac:dyDescent="0.25">
      <c r="A227" t="s">
        <v>40</v>
      </c>
      <c r="B227" t="s">
        <v>142</v>
      </c>
      <c r="C227" t="s">
        <v>220</v>
      </c>
    </row>
    <row r="228" spans="1:3" x14ac:dyDescent="0.25">
      <c r="A228" t="s">
        <v>40</v>
      </c>
      <c r="B228" t="s">
        <v>142</v>
      </c>
      <c r="C228" t="s">
        <v>220</v>
      </c>
    </row>
    <row r="229" spans="1:3" x14ac:dyDescent="0.25">
      <c r="A229" t="s">
        <v>41</v>
      </c>
      <c r="B229" t="s">
        <v>130</v>
      </c>
      <c r="C229" t="s">
        <v>221</v>
      </c>
    </row>
    <row r="230" spans="1:3" x14ac:dyDescent="0.25">
      <c r="A230" t="s">
        <v>41</v>
      </c>
      <c r="B230" t="s">
        <v>132</v>
      </c>
      <c r="C230" t="s">
        <v>222</v>
      </c>
    </row>
    <row r="231" spans="1:3" x14ac:dyDescent="0.25">
      <c r="A231" t="s">
        <v>41</v>
      </c>
      <c r="B231" t="s">
        <v>134</v>
      </c>
      <c r="C231" t="s">
        <v>197</v>
      </c>
    </row>
    <row r="232" spans="1:3" x14ac:dyDescent="0.25">
      <c r="A232" t="s">
        <v>41</v>
      </c>
      <c r="B232" t="s">
        <v>137</v>
      </c>
      <c r="C232" t="s">
        <v>223</v>
      </c>
    </row>
    <row r="233" spans="1:3" x14ac:dyDescent="0.25">
      <c r="A233" t="s">
        <v>41</v>
      </c>
      <c r="B233" t="s">
        <v>137</v>
      </c>
      <c r="C233" t="s">
        <v>221</v>
      </c>
    </row>
    <row r="234" spans="1:3" x14ac:dyDescent="0.25">
      <c r="A234" t="s">
        <v>41</v>
      </c>
      <c r="B234" t="s">
        <v>142</v>
      </c>
      <c r="C234" t="s">
        <v>223</v>
      </c>
    </row>
    <row r="235" spans="1:3" x14ac:dyDescent="0.25">
      <c r="A235" t="s">
        <v>41</v>
      </c>
      <c r="B235" t="s">
        <v>142</v>
      </c>
      <c r="C235" t="s">
        <v>221</v>
      </c>
    </row>
    <row r="236" spans="1:3" x14ac:dyDescent="0.25">
      <c r="A236" t="s">
        <v>41</v>
      </c>
      <c r="B236" t="s">
        <v>142</v>
      </c>
      <c r="C236" t="s">
        <v>224</v>
      </c>
    </row>
    <row r="237" spans="1:3" x14ac:dyDescent="0.25">
      <c r="A237" t="s">
        <v>42</v>
      </c>
      <c r="B237" t="s">
        <v>130</v>
      </c>
      <c r="C237" t="s">
        <v>196</v>
      </c>
    </row>
    <row r="238" spans="1:3" x14ac:dyDescent="0.25">
      <c r="A238" t="s">
        <v>42</v>
      </c>
      <c r="B238" t="s">
        <v>132</v>
      </c>
      <c r="C238" t="s">
        <v>167</v>
      </c>
    </row>
    <row r="239" spans="1:3" x14ac:dyDescent="0.25">
      <c r="A239" t="s">
        <v>42</v>
      </c>
      <c r="B239" t="s">
        <v>134</v>
      </c>
      <c r="C239" t="s">
        <v>225</v>
      </c>
    </row>
    <row r="240" spans="1:3" x14ac:dyDescent="0.25">
      <c r="A240" t="s">
        <v>42</v>
      </c>
      <c r="B240" t="s">
        <v>137</v>
      </c>
      <c r="C240" t="s">
        <v>214</v>
      </c>
    </row>
    <row r="241" spans="1:3" x14ac:dyDescent="0.25">
      <c r="A241" t="s">
        <v>42</v>
      </c>
      <c r="B241" t="s">
        <v>137</v>
      </c>
      <c r="C241" t="s">
        <v>196</v>
      </c>
    </row>
    <row r="242" spans="1:3" x14ac:dyDescent="0.25">
      <c r="A242" t="s">
        <v>42</v>
      </c>
      <c r="B242" t="s">
        <v>142</v>
      </c>
      <c r="C242" t="s">
        <v>204</v>
      </c>
    </row>
    <row r="243" spans="1:3" x14ac:dyDescent="0.25">
      <c r="A243" t="s">
        <v>42</v>
      </c>
      <c r="B243" t="s">
        <v>142</v>
      </c>
      <c r="C243" t="s">
        <v>214</v>
      </c>
    </row>
    <row r="244" spans="1:3" x14ac:dyDescent="0.25">
      <c r="A244" t="s">
        <v>42</v>
      </c>
      <c r="B244" t="s">
        <v>142</v>
      </c>
      <c r="C244" t="s">
        <v>196</v>
      </c>
    </row>
    <row r="245" spans="1:3" x14ac:dyDescent="0.25">
      <c r="A245" t="s">
        <v>43</v>
      </c>
      <c r="B245" t="s">
        <v>130</v>
      </c>
      <c r="C245" t="s">
        <v>191</v>
      </c>
    </row>
    <row r="246" spans="1:3" x14ac:dyDescent="0.25">
      <c r="A246" t="s">
        <v>43</v>
      </c>
      <c r="B246" t="s">
        <v>132</v>
      </c>
      <c r="C246" t="s">
        <v>162</v>
      </c>
    </row>
    <row r="247" spans="1:3" x14ac:dyDescent="0.25">
      <c r="A247" t="s">
        <v>43</v>
      </c>
      <c r="B247" t="s">
        <v>134</v>
      </c>
      <c r="C247" t="s">
        <v>181</v>
      </c>
    </row>
    <row r="248" spans="1:3" x14ac:dyDescent="0.25">
      <c r="A248" t="s">
        <v>43</v>
      </c>
      <c r="B248" t="s">
        <v>137</v>
      </c>
      <c r="C248" t="s">
        <v>226</v>
      </c>
    </row>
    <row r="249" spans="1:3" x14ac:dyDescent="0.25">
      <c r="A249" t="s">
        <v>43</v>
      </c>
      <c r="B249" t="s">
        <v>137</v>
      </c>
      <c r="C249" t="s">
        <v>227</v>
      </c>
    </row>
    <row r="250" spans="1:3" x14ac:dyDescent="0.25">
      <c r="A250" t="s">
        <v>43</v>
      </c>
      <c r="B250" t="s">
        <v>137</v>
      </c>
      <c r="C250" t="s">
        <v>228</v>
      </c>
    </row>
    <row r="251" spans="1:3" x14ac:dyDescent="0.25">
      <c r="A251" t="s">
        <v>43</v>
      </c>
      <c r="B251" t="s">
        <v>142</v>
      </c>
      <c r="C251" t="s">
        <v>226</v>
      </c>
    </row>
    <row r="252" spans="1:3" x14ac:dyDescent="0.25">
      <c r="A252" t="s">
        <v>43</v>
      </c>
      <c r="B252" t="s">
        <v>142</v>
      </c>
      <c r="C252" t="s">
        <v>227</v>
      </c>
    </row>
    <row r="253" spans="1:3" x14ac:dyDescent="0.25">
      <c r="A253" t="s">
        <v>43</v>
      </c>
      <c r="B253" t="s">
        <v>142</v>
      </c>
      <c r="C253" t="s">
        <v>228</v>
      </c>
    </row>
    <row r="254" spans="1:3" x14ac:dyDescent="0.25">
      <c r="A254" t="s">
        <v>43</v>
      </c>
      <c r="B254" t="s">
        <v>142</v>
      </c>
      <c r="C254" t="s">
        <v>191</v>
      </c>
    </row>
    <row r="255" spans="1:3" x14ac:dyDescent="0.25">
      <c r="A255" t="s">
        <v>44</v>
      </c>
      <c r="B255" t="s">
        <v>130</v>
      </c>
      <c r="C255" t="s">
        <v>195</v>
      </c>
    </row>
    <row r="256" spans="1:3" x14ac:dyDescent="0.25">
      <c r="A256" t="s">
        <v>44</v>
      </c>
      <c r="B256" t="s">
        <v>132</v>
      </c>
      <c r="C256" t="s">
        <v>229</v>
      </c>
    </row>
    <row r="257" spans="1:3" x14ac:dyDescent="0.25">
      <c r="A257" t="s">
        <v>44</v>
      </c>
      <c r="B257" t="s">
        <v>134</v>
      </c>
      <c r="C257" t="s">
        <v>207</v>
      </c>
    </row>
    <row r="258" spans="1:3" x14ac:dyDescent="0.25">
      <c r="A258" t="s">
        <v>44</v>
      </c>
      <c r="B258" t="s">
        <v>137</v>
      </c>
      <c r="C258" t="s">
        <v>230</v>
      </c>
    </row>
    <row r="259" spans="1:3" x14ac:dyDescent="0.25">
      <c r="A259" t="s">
        <v>44</v>
      </c>
      <c r="B259" t="s">
        <v>137</v>
      </c>
      <c r="C259" t="s">
        <v>189</v>
      </c>
    </row>
    <row r="260" spans="1:3" x14ac:dyDescent="0.25">
      <c r="A260" t="s">
        <v>44</v>
      </c>
      <c r="B260" t="s">
        <v>142</v>
      </c>
      <c r="C260" t="s">
        <v>189</v>
      </c>
    </row>
    <row r="261" spans="1:3" x14ac:dyDescent="0.25">
      <c r="A261" t="s">
        <v>44</v>
      </c>
      <c r="B261" t="s">
        <v>142</v>
      </c>
      <c r="C261" t="s">
        <v>195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C685A-CBDF-47A0-A75C-5B6CD8D1E53F}">
  <dimension ref="A1:H29"/>
  <sheetViews>
    <sheetView workbookViewId="0">
      <selection activeCell="J3" sqref="J3"/>
    </sheetView>
  </sheetViews>
  <sheetFormatPr defaultRowHeight="15" x14ac:dyDescent="0.25"/>
  <cols>
    <col min="1" max="1" width="19" bestFit="1" customWidth="1"/>
    <col min="2" max="2" width="24.42578125" bestFit="1" customWidth="1"/>
    <col min="3" max="3" width="25.5703125" bestFit="1" customWidth="1"/>
    <col min="4" max="4" width="18" bestFit="1" customWidth="1"/>
    <col min="5" max="5" width="19.140625" bestFit="1" customWidth="1"/>
    <col min="6" max="6" width="15.5703125" bestFit="1" customWidth="1"/>
    <col min="7" max="7" width="13.5703125" bestFit="1" customWidth="1"/>
    <col min="8" max="8" width="14.7109375" bestFit="1" customWidth="1"/>
  </cols>
  <sheetData>
    <row r="1" spans="1:8" x14ac:dyDescent="0.25">
      <c r="A1" t="s">
        <v>0</v>
      </c>
      <c r="B1" t="s">
        <v>231</v>
      </c>
      <c r="C1" t="s">
        <v>232</v>
      </c>
      <c r="D1" t="s">
        <v>233</v>
      </c>
      <c r="E1" t="s">
        <v>234</v>
      </c>
      <c r="F1" t="s">
        <v>235</v>
      </c>
      <c r="G1" t="s">
        <v>236</v>
      </c>
      <c r="H1" t="s">
        <v>237</v>
      </c>
    </row>
    <row r="2" spans="1:8" x14ac:dyDescent="0.25">
      <c r="A2" t="s">
        <v>3</v>
      </c>
      <c r="B2">
        <v>100</v>
      </c>
      <c r="C2">
        <v>96</v>
      </c>
      <c r="D2">
        <v>95</v>
      </c>
      <c r="E2">
        <v>26</v>
      </c>
      <c r="F2" t="s">
        <v>238</v>
      </c>
      <c r="G2">
        <v>8.3000000000000007</v>
      </c>
      <c r="H2">
        <v>1089101</v>
      </c>
    </row>
    <row r="3" spans="1:8" x14ac:dyDescent="0.25">
      <c r="A3" t="s">
        <v>14</v>
      </c>
      <c r="B3">
        <v>92</v>
      </c>
      <c r="C3">
        <v>91</v>
      </c>
      <c r="D3">
        <v>78</v>
      </c>
      <c r="E3">
        <v>23</v>
      </c>
      <c r="F3" t="s">
        <v>238</v>
      </c>
      <c r="G3">
        <v>7.2</v>
      </c>
      <c r="H3">
        <v>319596</v>
      </c>
    </row>
    <row r="4" spans="1:8" x14ac:dyDescent="0.25">
      <c r="A4" t="s">
        <v>15</v>
      </c>
      <c r="B4">
        <v>100</v>
      </c>
      <c r="C4">
        <v>172</v>
      </c>
      <c r="D4">
        <v>88</v>
      </c>
      <c r="E4">
        <v>34</v>
      </c>
      <c r="F4" t="s">
        <v>239</v>
      </c>
      <c r="G4">
        <v>7.9</v>
      </c>
      <c r="H4">
        <v>630573</v>
      </c>
    </row>
    <row r="5" spans="1:8" x14ac:dyDescent="0.25">
      <c r="A5" t="s">
        <v>16</v>
      </c>
      <c r="B5">
        <v>96</v>
      </c>
      <c r="C5">
        <v>199</v>
      </c>
      <c r="D5">
        <v>79</v>
      </c>
      <c r="E5">
        <v>35</v>
      </c>
      <c r="F5" t="s">
        <v>239</v>
      </c>
      <c r="G5">
        <v>8.1</v>
      </c>
      <c r="H5">
        <v>1000657</v>
      </c>
    </row>
    <row r="6" spans="1:8" x14ac:dyDescent="0.25">
      <c r="A6" t="s">
        <v>19</v>
      </c>
      <c r="B6">
        <v>99</v>
      </c>
      <c r="C6">
        <v>270</v>
      </c>
      <c r="D6">
        <v>90</v>
      </c>
      <c r="E6">
        <v>38</v>
      </c>
      <c r="F6" t="s">
        <v>239</v>
      </c>
      <c r="G6">
        <v>8.1999999999999993</v>
      </c>
      <c r="H6">
        <v>1132877</v>
      </c>
    </row>
    <row r="7" spans="1:8" x14ac:dyDescent="0.25">
      <c r="A7" t="s">
        <v>20</v>
      </c>
      <c r="B7">
        <v>97</v>
      </c>
      <c r="C7">
        <v>250</v>
      </c>
      <c r="D7">
        <v>90</v>
      </c>
      <c r="E7">
        <v>41</v>
      </c>
      <c r="F7" t="s">
        <v>239</v>
      </c>
      <c r="G7">
        <v>8</v>
      </c>
      <c r="H7">
        <v>828986</v>
      </c>
    </row>
    <row r="8" spans="1:8" x14ac:dyDescent="0.25">
      <c r="A8" t="s">
        <v>22</v>
      </c>
      <c r="B8">
        <v>75</v>
      </c>
      <c r="C8">
        <v>204</v>
      </c>
      <c r="D8">
        <v>73</v>
      </c>
      <c r="E8">
        <v>39</v>
      </c>
      <c r="F8" t="s">
        <v>238</v>
      </c>
      <c r="G8">
        <v>7.2</v>
      </c>
      <c r="H8">
        <v>484034</v>
      </c>
    </row>
    <row r="9" spans="1:8" x14ac:dyDescent="0.25">
      <c r="A9" t="s">
        <v>23</v>
      </c>
      <c r="B9">
        <v>96</v>
      </c>
      <c r="C9">
        <v>253</v>
      </c>
      <c r="D9">
        <v>96</v>
      </c>
      <c r="E9">
        <v>37</v>
      </c>
      <c r="F9" t="s">
        <v>238</v>
      </c>
      <c r="G9">
        <v>8.1</v>
      </c>
      <c r="H9">
        <v>851229</v>
      </c>
    </row>
    <row r="10" spans="1:8" x14ac:dyDescent="0.25">
      <c r="A10" t="s">
        <v>24</v>
      </c>
      <c r="B10">
        <v>95</v>
      </c>
      <c r="C10">
        <v>261</v>
      </c>
      <c r="D10">
        <v>95</v>
      </c>
      <c r="E10">
        <v>39</v>
      </c>
      <c r="F10" t="s">
        <v>238</v>
      </c>
      <c r="G10">
        <v>8.4</v>
      </c>
      <c r="H10">
        <v>1226415</v>
      </c>
    </row>
    <row r="11" spans="1:8" x14ac:dyDescent="0.25">
      <c r="A11" t="s">
        <v>25</v>
      </c>
      <c r="B11">
        <v>98</v>
      </c>
      <c r="C11">
        <v>297</v>
      </c>
      <c r="D11">
        <v>88</v>
      </c>
      <c r="E11">
        <v>37</v>
      </c>
      <c r="F11" t="s">
        <v>239</v>
      </c>
      <c r="G11">
        <v>8.3000000000000007</v>
      </c>
      <c r="H11">
        <v>1151249</v>
      </c>
    </row>
    <row r="12" spans="1:8" x14ac:dyDescent="0.25">
      <c r="A12" t="s">
        <v>27</v>
      </c>
      <c r="B12">
        <v>98</v>
      </c>
      <c r="C12">
        <v>313</v>
      </c>
      <c r="D12">
        <v>92</v>
      </c>
      <c r="E12">
        <v>39</v>
      </c>
      <c r="F12" t="s">
        <v>238</v>
      </c>
      <c r="G12">
        <v>8.3000000000000007</v>
      </c>
      <c r="H12">
        <v>908222</v>
      </c>
    </row>
    <row r="13" spans="1:8" x14ac:dyDescent="0.25">
      <c r="A13" t="s">
        <v>28</v>
      </c>
      <c r="B13">
        <v>40</v>
      </c>
      <c r="C13">
        <v>220</v>
      </c>
      <c r="D13">
        <v>57</v>
      </c>
      <c r="E13">
        <v>38</v>
      </c>
      <c r="F13" t="s">
        <v>240</v>
      </c>
      <c r="G13">
        <v>6.2</v>
      </c>
      <c r="H13">
        <v>225724</v>
      </c>
    </row>
    <row r="14" spans="1:8" x14ac:dyDescent="0.25">
      <c r="A14" t="s">
        <v>29</v>
      </c>
      <c r="B14">
        <v>79</v>
      </c>
      <c r="C14">
        <v>256</v>
      </c>
      <c r="D14">
        <v>69</v>
      </c>
      <c r="E14">
        <v>37</v>
      </c>
      <c r="F14" t="s">
        <v>238</v>
      </c>
      <c r="G14">
        <v>7.1</v>
      </c>
      <c r="H14">
        <v>452012</v>
      </c>
    </row>
    <row r="15" spans="1:8" x14ac:dyDescent="0.25">
      <c r="A15" t="s">
        <v>30</v>
      </c>
      <c r="B15">
        <v>80</v>
      </c>
      <c r="C15">
        <v>203</v>
      </c>
      <c r="D15">
        <v>65</v>
      </c>
      <c r="E15">
        <v>41</v>
      </c>
      <c r="F15" t="s">
        <v>238</v>
      </c>
      <c r="G15">
        <v>7.2</v>
      </c>
      <c r="H15">
        <v>398903</v>
      </c>
    </row>
    <row r="16" spans="1:8" x14ac:dyDescent="0.25">
      <c r="A16" t="s">
        <v>31</v>
      </c>
      <c r="B16">
        <v>98</v>
      </c>
      <c r="C16">
        <v>387</v>
      </c>
      <c r="D16">
        <v>94</v>
      </c>
      <c r="E16">
        <v>55</v>
      </c>
      <c r="F16" t="s">
        <v>238</v>
      </c>
      <c r="G16">
        <v>8.1</v>
      </c>
      <c r="H16">
        <v>834268</v>
      </c>
    </row>
    <row r="17" spans="1:8" x14ac:dyDescent="0.25">
      <c r="A17" t="s">
        <v>32</v>
      </c>
      <c r="B17">
        <v>75</v>
      </c>
      <c r="C17">
        <v>220</v>
      </c>
      <c r="D17">
        <v>66</v>
      </c>
      <c r="E17">
        <v>37</v>
      </c>
      <c r="F17" t="s">
        <v>238</v>
      </c>
      <c r="G17">
        <v>6.7</v>
      </c>
      <c r="H17">
        <v>130324</v>
      </c>
    </row>
    <row r="18" spans="1:8" x14ac:dyDescent="0.25">
      <c r="A18" t="s">
        <v>33</v>
      </c>
      <c r="B18">
        <v>94</v>
      </c>
      <c r="C18">
        <v>339</v>
      </c>
      <c r="D18">
        <v>77</v>
      </c>
      <c r="E18">
        <v>48</v>
      </c>
      <c r="F18" t="s">
        <v>238</v>
      </c>
      <c r="G18">
        <v>7.2</v>
      </c>
      <c r="H18">
        <v>311793</v>
      </c>
    </row>
    <row r="19" spans="1:8" x14ac:dyDescent="0.25">
      <c r="A19" t="s">
        <v>34</v>
      </c>
      <c r="B19">
        <v>69</v>
      </c>
      <c r="C19">
        <v>234</v>
      </c>
      <c r="D19">
        <v>59</v>
      </c>
      <c r="E19">
        <v>41</v>
      </c>
      <c r="F19" t="s">
        <v>238</v>
      </c>
      <c r="G19">
        <v>6.7</v>
      </c>
      <c r="H19">
        <v>128849</v>
      </c>
    </row>
    <row r="20" spans="1:8" x14ac:dyDescent="0.25">
      <c r="A20" t="s">
        <v>35</v>
      </c>
      <c r="B20">
        <v>97</v>
      </c>
      <c r="C20">
        <v>357</v>
      </c>
      <c r="D20">
        <v>81</v>
      </c>
      <c r="E20">
        <v>48</v>
      </c>
      <c r="F20" t="s">
        <v>239</v>
      </c>
      <c r="G20">
        <v>8.4</v>
      </c>
      <c r="H20">
        <v>618005</v>
      </c>
    </row>
    <row r="21" spans="1:8" x14ac:dyDescent="0.25">
      <c r="A21" t="s">
        <v>36</v>
      </c>
      <c r="B21">
        <v>93</v>
      </c>
      <c r="C21">
        <v>390</v>
      </c>
      <c r="D21">
        <v>80</v>
      </c>
      <c r="E21">
        <v>51</v>
      </c>
      <c r="F21" t="s">
        <v>239</v>
      </c>
      <c r="G21">
        <v>7.5</v>
      </c>
      <c r="H21">
        <v>341353</v>
      </c>
    </row>
    <row r="22" spans="1:8" x14ac:dyDescent="0.25">
      <c r="A22" t="s">
        <v>37</v>
      </c>
      <c r="B22">
        <v>97</v>
      </c>
      <c r="C22">
        <v>459</v>
      </c>
      <c r="D22">
        <v>84</v>
      </c>
      <c r="E22">
        <v>57</v>
      </c>
      <c r="F22" t="s">
        <v>238</v>
      </c>
      <c r="G22">
        <v>7.6</v>
      </c>
      <c r="H22">
        <v>288783</v>
      </c>
    </row>
    <row r="23" spans="1:8" x14ac:dyDescent="0.25">
      <c r="A23" t="s">
        <v>38</v>
      </c>
      <c r="B23">
        <v>88</v>
      </c>
      <c r="C23">
        <v>350</v>
      </c>
      <c r="D23">
        <v>64</v>
      </c>
      <c r="E23">
        <v>56</v>
      </c>
      <c r="F23" t="s">
        <v>240</v>
      </c>
      <c r="G23">
        <v>7.4</v>
      </c>
      <c r="H23">
        <v>174917</v>
      </c>
    </row>
    <row r="24" spans="1:8" x14ac:dyDescent="0.25">
      <c r="A24" t="s">
        <v>39</v>
      </c>
      <c r="B24">
        <v>95</v>
      </c>
      <c r="C24">
        <v>360</v>
      </c>
      <c r="D24">
        <v>83</v>
      </c>
      <c r="E24">
        <v>55</v>
      </c>
      <c r="F24" t="s">
        <v>49</v>
      </c>
      <c r="G24">
        <v>8</v>
      </c>
      <c r="H24">
        <v>392783</v>
      </c>
    </row>
    <row r="25" spans="1:8" x14ac:dyDescent="0.25">
      <c r="A25" t="s">
        <v>40</v>
      </c>
      <c r="B25">
        <v>91</v>
      </c>
      <c r="C25">
        <v>303</v>
      </c>
      <c r="D25">
        <v>71</v>
      </c>
      <c r="E25">
        <v>52</v>
      </c>
      <c r="F25" t="s">
        <v>49</v>
      </c>
      <c r="G25">
        <v>7.4</v>
      </c>
      <c r="H25">
        <v>202404</v>
      </c>
    </row>
    <row r="26" spans="1:8" x14ac:dyDescent="0.25">
      <c r="A26" t="s">
        <v>41</v>
      </c>
      <c r="B26">
        <v>95</v>
      </c>
      <c r="C26">
        <v>289</v>
      </c>
      <c r="D26">
        <v>83</v>
      </c>
      <c r="E26">
        <v>52</v>
      </c>
      <c r="F26" t="s">
        <v>49</v>
      </c>
      <c r="G26">
        <v>7</v>
      </c>
      <c r="H26">
        <v>158649</v>
      </c>
    </row>
    <row r="27" spans="1:8" x14ac:dyDescent="0.25">
      <c r="A27" t="s">
        <v>42</v>
      </c>
      <c r="B27">
        <v>74</v>
      </c>
      <c r="C27">
        <v>319</v>
      </c>
      <c r="D27">
        <v>60</v>
      </c>
      <c r="E27">
        <v>57</v>
      </c>
      <c r="F27" t="s">
        <v>240</v>
      </c>
      <c r="G27">
        <v>6.1</v>
      </c>
      <c r="H27">
        <v>127045</v>
      </c>
    </row>
    <row r="28" spans="1:8" x14ac:dyDescent="0.25">
      <c r="A28" t="s">
        <v>43</v>
      </c>
      <c r="B28">
        <v>73</v>
      </c>
      <c r="C28">
        <v>262</v>
      </c>
      <c r="D28">
        <v>58</v>
      </c>
      <c r="E28">
        <v>45</v>
      </c>
      <c r="F28" t="s">
        <v>238</v>
      </c>
      <c r="G28">
        <v>7</v>
      </c>
      <c r="H28">
        <v>140174</v>
      </c>
    </row>
    <row r="29" spans="1:8" x14ac:dyDescent="0.25">
      <c r="A29" t="s">
        <v>44</v>
      </c>
      <c r="B29">
        <v>90</v>
      </c>
      <c r="C29">
        <v>313</v>
      </c>
      <c r="D29">
        <v>73</v>
      </c>
      <c r="E29">
        <v>59</v>
      </c>
      <c r="F29" t="s">
        <v>238</v>
      </c>
      <c r="G29">
        <v>7.6</v>
      </c>
      <c r="H29">
        <v>168090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57A89-72A4-4E6F-96BE-85EF8DBBF308}">
  <dimension ref="A1:AB55"/>
  <sheetViews>
    <sheetView topLeftCell="R35" zoomScale="43" zoomScaleNormal="40" workbookViewId="0">
      <selection activeCell="AP35" sqref="AP35"/>
    </sheetView>
  </sheetViews>
  <sheetFormatPr defaultRowHeight="15" x14ac:dyDescent="0.25"/>
  <cols>
    <col min="1" max="2" width="20.7109375" bestFit="1" customWidth="1"/>
    <col min="3" max="3" width="22" bestFit="1" customWidth="1"/>
    <col min="4" max="4" width="10" bestFit="1" customWidth="1"/>
    <col min="5" max="6" width="20.7109375" bestFit="1" customWidth="1"/>
    <col min="7" max="7" width="28.7109375" bestFit="1" customWidth="1"/>
    <col min="8" max="9" width="4.5703125" bestFit="1" customWidth="1"/>
    <col min="10" max="10" width="19" bestFit="1" customWidth="1"/>
    <col min="11" max="11" width="28.140625" bestFit="1" customWidth="1"/>
    <col min="12" max="12" width="28.85546875" bestFit="1" customWidth="1"/>
    <col min="13" max="13" width="29" bestFit="1" customWidth="1"/>
    <col min="14" max="14" width="27.5703125" style="6" customWidth="1"/>
    <col min="16" max="16" width="22.85546875" bestFit="1" customWidth="1"/>
    <col min="17" max="17" width="27.28515625" bestFit="1" customWidth="1"/>
    <col min="18" max="18" width="15.85546875" bestFit="1" customWidth="1"/>
    <col min="19" max="19" width="15.5703125" bestFit="1" customWidth="1"/>
    <col min="20" max="20" width="11.85546875" bestFit="1" customWidth="1"/>
    <col min="21" max="21" width="10.42578125" bestFit="1" customWidth="1"/>
    <col min="22" max="22" width="10.7109375" bestFit="1" customWidth="1"/>
    <col min="23" max="23" width="18.140625" bestFit="1" customWidth="1"/>
    <col min="24" max="25" width="27.85546875" bestFit="1" customWidth="1"/>
    <col min="26" max="26" width="24.42578125" bestFit="1" customWidth="1"/>
    <col min="27" max="27" width="5.85546875" bestFit="1" customWidth="1"/>
    <col min="28" max="28" width="16.85546875" bestFit="1" customWidth="1"/>
    <col min="29" max="29" width="8.28515625" bestFit="1" customWidth="1"/>
    <col min="30" max="32" width="8.7109375" bestFit="1" customWidth="1"/>
    <col min="33" max="33" width="8.42578125" bestFit="1" customWidth="1"/>
    <col min="34" max="35" width="8.7109375" bestFit="1" customWidth="1"/>
    <col min="36" max="36" width="8.28515625" bestFit="1" customWidth="1"/>
    <col min="37" max="37" width="7.7109375" bestFit="1" customWidth="1"/>
    <col min="38" max="39" width="8.28515625" bestFit="1" customWidth="1"/>
    <col min="40" max="40" width="8" bestFit="1" customWidth="1"/>
    <col min="41" max="41" width="8.28515625" bestFit="1" customWidth="1"/>
    <col min="42" max="42" width="8" bestFit="1" customWidth="1"/>
    <col min="43" max="44" width="8.28515625" bestFit="1" customWidth="1"/>
    <col min="45" max="45" width="8.7109375" bestFit="1" customWidth="1"/>
    <col min="46" max="46" width="8.28515625" bestFit="1" customWidth="1"/>
    <col min="47" max="49" width="8.7109375" bestFit="1" customWidth="1"/>
    <col min="50" max="50" width="16.85546875" bestFit="1" customWidth="1"/>
    <col min="51" max="52" width="24.42578125" bestFit="1" customWidth="1"/>
    <col min="53" max="53" width="16.85546875" bestFit="1" customWidth="1"/>
    <col min="54" max="54" width="16.28515625" bestFit="1" customWidth="1"/>
    <col min="55" max="55" width="23" bestFit="1" customWidth="1"/>
    <col min="56" max="56" width="16.85546875" bestFit="1" customWidth="1"/>
    <col min="57" max="57" width="18.7109375" bestFit="1" customWidth="1"/>
    <col min="58" max="58" width="20.42578125" bestFit="1" customWidth="1"/>
    <col min="59" max="59" width="18.7109375" bestFit="1" customWidth="1"/>
    <col min="60" max="60" width="20.42578125" bestFit="1" customWidth="1"/>
    <col min="61" max="61" width="18.7109375" bestFit="1" customWidth="1"/>
    <col min="62" max="62" width="20.42578125" bestFit="1" customWidth="1"/>
    <col min="63" max="63" width="18.7109375" bestFit="1" customWidth="1"/>
    <col min="64" max="64" width="20.42578125" bestFit="1" customWidth="1"/>
    <col min="65" max="65" width="26.28515625" bestFit="1" customWidth="1"/>
    <col min="66" max="66" width="27.85546875" bestFit="1" customWidth="1"/>
    <col min="67" max="67" width="6.28515625" bestFit="1" customWidth="1"/>
    <col min="68" max="68" width="19" bestFit="1" customWidth="1"/>
    <col min="69" max="69" width="6.7109375" bestFit="1" customWidth="1"/>
    <col min="70" max="70" width="15.140625" bestFit="1" customWidth="1"/>
    <col min="71" max="71" width="9.42578125" bestFit="1" customWidth="1"/>
    <col min="72" max="72" width="6.85546875" bestFit="1" customWidth="1"/>
    <col min="73" max="73" width="7.7109375" bestFit="1" customWidth="1"/>
    <col min="74" max="74" width="11.7109375" bestFit="1" customWidth="1"/>
    <col min="75" max="75" width="23.42578125" bestFit="1" customWidth="1"/>
    <col min="76" max="76" width="11.140625" bestFit="1" customWidth="1"/>
    <col min="77" max="77" width="6.28515625" bestFit="1" customWidth="1"/>
    <col min="78" max="78" width="8.28515625" bestFit="1" customWidth="1"/>
    <col min="79" max="79" width="6.28515625" bestFit="1" customWidth="1"/>
    <col min="80" max="80" width="9.42578125" bestFit="1" customWidth="1"/>
    <col min="82" max="82" width="5.7109375" bestFit="1" customWidth="1"/>
    <col min="83" max="83" width="14.140625" bestFit="1" customWidth="1"/>
    <col min="84" max="84" width="11.28515625" bestFit="1" customWidth="1"/>
    <col min="85" max="85" width="5.85546875" bestFit="1" customWidth="1"/>
    <col min="86" max="86" width="4.140625" bestFit="1" customWidth="1"/>
    <col min="87" max="87" width="10.28515625" bestFit="1" customWidth="1"/>
    <col min="88" max="88" width="20" bestFit="1" customWidth="1"/>
    <col min="89" max="89" width="15.85546875" bestFit="1" customWidth="1"/>
    <col min="90" max="90" width="15.42578125" bestFit="1" customWidth="1"/>
    <col min="91" max="91" width="13.28515625" bestFit="1" customWidth="1"/>
    <col min="92" max="92" width="11.5703125" bestFit="1" customWidth="1"/>
    <col min="93" max="93" width="11.28515625" bestFit="1" customWidth="1"/>
    <col min="94" max="94" width="16.42578125" bestFit="1" customWidth="1"/>
    <col min="95" max="95" width="11.28515625" bestFit="1" customWidth="1"/>
  </cols>
  <sheetData>
    <row r="1" spans="1:28" x14ac:dyDescent="0.25">
      <c r="A1" s="3" t="s">
        <v>241</v>
      </c>
      <c r="B1" t="s">
        <v>288</v>
      </c>
      <c r="C1" t="s">
        <v>289</v>
      </c>
      <c r="E1" s="3" t="s">
        <v>2</v>
      </c>
      <c r="F1" t="s" vm="1">
        <v>274</v>
      </c>
      <c r="J1" s="3" t="s">
        <v>241</v>
      </c>
      <c r="K1" t="s">
        <v>243</v>
      </c>
      <c r="M1" t="s">
        <v>244</v>
      </c>
      <c r="N1" s="6" t="s">
        <v>245</v>
      </c>
      <c r="Y1" s="3" t="s">
        <v>287</v>
      </c>
      <c r="Z1" s="3" t="s">
        <v>246</v>
      </c>
    </row>
    <row r="2" spans="1:28" x14ac:dyDescent="0.25">
      <c r="A2" s="4" t="s">
        <v>44</v>
      </c>
      <c r="B2" s="5">
        <v>200000000</v>
      </c>
      <c r="C2" s="5">
        <v>1698030965</v>
      </c>
      <c r="J2" s="4" t="s">
        <v>22</v>
      </c>
      <c r="K2" s="5">
        <v>461983149</v>
      </c>
      <c r="M2" t="s">
        <v>22</v>
      </c>
      <c r="N2" s="6">
        <v>461983149</v>
      </c>
      <c r="P2" s="3" t="s">
        <v>50</v>
      </c>
      <c r="Q2" t="s" vm="2">
        <v>52</v>
      </c>
      <c r="Y2" s="3" t="s">
        <v>241</v>
      </c>
      <c r="Z2" t="s">
        <v>98</v>
      </c>
      <c r="AA2" t="s">
        <v>104</v>
      </c>
      <c r="AB2" t="s">
        <v>242</v>
      </c>
    </row>
    <row r="3" spans="1:28" x14ac:dyDescent="0.25">
      <c r="A3" s="4" t="s">
        <v>36</v>
      </c>
      <c r="B3" s="5">
        <v>200000000</v>
      </c>
      <c r="C3" s="5">
        <v>1242805359</v>
      </c>
      <c r="E3" s="3" t="s">
        <v>241</v>
      </c>
      <c r="F3" t="s">
        <v>291</v>
      </c>
      <c r="G3" t="s">
        <v>290</v>
      </c>
      <c r="J3" s="4" t="s">
        <v>28</v>
      </c>
      <c r="K3" s="5">
        <v>559852396</v>
      </c>
      <c r="M3" t="s">
        <v>28</v>
      </c>
      <c r="N3" s="6">
        <v>559852396</v>
      </c>
      <c r="Y3" s="4" t="s">
        <v>248</v>
      </c>
      <c r="Z3">
        <v>1</v>
      </c>
      <c r="AB3">
        <v>1</v>
      </c>
    </row>
    <row r="4" spans="1:28" x14ac:dyDescent="0.25">
      <c r="A4" s="4" t="s">
        <v>37</v>
      </c>
      <c r="B4" s="5">
        <v>200000000</v>
      </c>
      <c r="C4" s="5">
        <v>1073394593</v>
      </c>
      <c r="E4" s="4" t="s">
        <v>16</v>
      </c>
      <c r="F4">
        <v>1</v>
      </c>
      <c r="G4">
        <v>96</v>
      </c>
      <c r="J4" s="4" t="s">
        <v>34</v>
      </c>
      <c r="K4" s="5">
        <v>383930656</v>
      </c>
      <c r="M4" t="s">
        <v>34</v>
      </c>
      <c r="N4" s="6">
        <v>383930656</v>
      </c>
      <c r="P4" s="3" t="s">
        <v>286</v>
      </c>
      <c r="Q4" s="3" t="s">
        <v>246</v>
      </c>
      <c r="Y4" s="4" t="s">
        <v>249</v>
      </c>
      <c r="Z4">
        <v>1</v>
      </c>
      <c r="AB4">
        <v>1</v>
      </c>
    </row>
    <row r="5" spans="1:28" x14ac:dyDescent="0.25">
      <c r="A5" s="4" t="s">
        <v>27</v>
      </c>
      <c r="B5" s="5">
        <v>200000000</v>
      </c>
      <c r="C5" s="5">
        <v>1066969703</v>
      </c>
      <c r="E5" s="4" t="s">
        <v>23</v>
      </c>
      <c r="F5">
        <v>1</v>
      </c>
      <c r="G5">
        <v>96</v>
      </c>
      <c r="J5" s="4" t="s">
        <v>33</v>
      </c>
      <c r="K5" s="5">
        <v>1028570889</v>
      </c>
      <c r="M5" t="s">
        <v>19</v>
      </c>
      <c r="N5" s="6">
        <v>871014978</v>
      </c>
      <c r="P5" s="3" t="s">
        <v>241</v>
      </c>
      <c r="Q5" t="s">
        <v>65</v>
      </c>
      <c r="R5" t="s">
        <v>53</v>
      </c>
      <c r="S5" t="s">
        <v>54</v>
      </c>
      <c r="T5" t="s">
        <v>55</v>
      </c>
      <c r="U5" t="s">
        <v>84</v>
      </c>
      <c r="V5" t="s">
        <v>69</v>
      </c>
      <c r="W5" t="s">
        <v>242</v>
      </c>
      <c r="Y5" s="4" t="s">
        <v>250</v>
      </c>
      <c r="Z5">
        <v>1</v>
      </c>
      <c r="AB5">
        <v>1</v>
      </c>
    </row>
    <row r="6" spans="1:28" x14ac:dyDescent="0.25">
      <c r="A6" s="4" t="s">
        <v>33</v>
      </c>
      <c r="B6" s="5">
        <v>200000000</v>
      </c>
      <c r="C6" s="5">
        <v>1028570889</v>
      </c>
      <c r="E6" s="4" t="s">
        <v>31</v>
      </c>
      <c r="F6">
        <v>1</v>
      </c>
      <c r="G6">
        <v>98</v>
      </c>
      <c r="J6" s="4" t="s">
        <v>19</v>
      </c>
      <c r="K6" s="5">
        <v>871014978</v>
      </c>
      <c r="M6" t="s">
        <v>33</v>
      </c>
      <c r="N6" s="6">
        <v>1028570889</v>
      </c>
      <c r="P6" s="4" t="s">
        <v>248</v>
      </c>
      <c r="Y6" s="4" t="s">
        <v>251</v>
      </c>
      <c r="Z6">
        <v>1</v>
      </c>
      <c r="AB6">
        <v>1</v>
      </c>
    </row>
    <row r="7" spans="1:28" x14ac:dyDescent="0.25">
      <c r="A7" s="4" t="s">
        <v>19</v>
      </c>
      <c r="B7" s="5">
        <v>94000000</v>
      </c>
      <c r="C7" s="5">
        <v>871014978</v>
      </c>
      <c r="E7" s="4" t="s">
        <v>19</v>
      </c>
      <c r="F7">
        <v>1</v>
      </c>
      <c r="G7">
        <v>99</v>
      </c>
      <c r="J7" s="4" t="s">
        <v>36</v>
      </c>
      <c r="K7" s="5">
        <v>1242805359</v>
      </c>
      <c r="M7" t="s">
        <v>20</v>
      </c>
      <c r="N7" s="6">
        <v>631442092</v>
      </c>
      <c r="P7" s="7" t="s">
        <v>98</v>
      </c>
      <c r="R7">
        <v>1</v>
      </c>
      <c r="S7">
        <v>1</v>
      </c>
      <c r="T7">
        <v>1</v>
      </c>
      <c r="W7">
        <v>3</v>
      </c>
      <c r="Y7" s="4" t="s">
        <v>252</v>
      </c>
      <c r="Z7">
        <v>1</v>
      </c>
      <c r="AB7">
        <v>1</v>
      </c>
    </row>
    <row r="8" spans="1:28" x14ac:dyDescent="0.25">
      <c r="A8" s="4" t="s">
        <v>31</v>
      </c>
      <c r="B8" s="5">
        <v>175000000</v>
      </c>
      <c r="C8" s="5">
        <v>857611174</v>
      </c>
      <c r="E8" s="4" t="s">
        <v>29</v>
      </c>
      <c r="F8">
        <v>1</v>
      </c>
      <c r="G8">
        <v>79</v>
      </c>
      <c r="J8" s="4" t="s">
        <v>31</v>
      </c>
      <c r="K8" s="5">
        <v>857611174</v>
      </c>
      <c r="M8" t="s">
        <v>36</v>
      </c>
      <c r="N8" s="6">
        <v>1242805359</v>
      </c>
      <c r="P8" s="4" t="s">
        <v>249</v>
      </c>
      <c r="Y8" s="4" t="s">
        <v>253</v>
      </c>
      <c r="AA8">
        <v>1</v>
      </c>
      <c r="AB8">
        <v>1</v>
      </c>
    </row>
    <row r="9" spans="1:28" x14ac:dyDescent="0.25">
      <c r="A9" s="4" t="s">
        <v>35</v>
      </c>
      <c r="B9" s="5">
        <v>175000000</v>
      </c>
      <c r="C9" s="5">
        <v>814641172</v>
      </c>
      <c r="E9" s="4" t="s">
        <v>35</v>
      </c>
      <c r="F9">
        <v>2</v>
      </c>
      <c r="G9">
        <v>97</v>
      </c>
      <c r="J9" s="4" t="s">
        <v>44</v>
      </c>
      <c r="K9" s="5">
        <v>1698030965</v>
      </c>
      <c r="M9" t="s">
        <v>31</v>
      </c>
      <c r="N9" s="6">
        <v>857611174</v>
      </c>
      <c r="P9" s="7" t="s">
        <v>98</v>
      </c>
      <c r="R9">
        <v>1</v>
      </c>
      <c r="S9">
        <v>1</v>
      </c>
      <c r="T9">
        <v>1</v>
      </c>
      <c r="W9">
        <v>3</v>
      </c>
      <c r="Y9" s="4" t="s">
        <v>254</v>
      </c>
      <c r="Z9">
        <v>1</v>
      </c>
      <c r="AB9">
        <v>1</v>
      </c>
    </row>
    <row r="10" spans="1:28" x14ac:dyDescent="0.25">
      <c r="A10" s="4" t="s">
        <v>30</v>
      </c>
      <c r="B10" s="5">
        <v>200000000</v>
      </c>
      <c r="C10" s="5">
        <v>743559607</v>
      </c>
      <c r="E10" s="4" t="s">
        <v>20</v>
      </c>
      <c r="F10">
        <v>2</v>
      </c>
      <c r="G10">
        <v>97</v>
      </c>
      <c r="J10" s="4" t="s">
        <v>30</v>
      </c>
      <c r="K10" s="5">
        <v>743559607</v>
      </c>
      <c r="M10" t="s">
        <v>44</v>
      </c>
      <c r="N10" s="6">
        <v>1698030965</v>
      </c>
      <c r="P10" s="4" t="s">
        <v>250</v>
      </c>
      <c r="Y10" s="4" t="s">
        <v>255</v>
      </c>
      <c r="Z10">
        <v>1</v>
      </c>
      <c r="AB10">
        <v>1</v>
      </c>
    </row>
    <row r="11" spans="1:28" x14ac:dyDescent="0.25">
      <c r="A11" s="4" t="s">
        <v>25</v>
      </c>
      <c r="B11" s="5">
        <v>175000000</v>
      </c>
      <c r="C11" s="5">
        <v>735099082</v>
      </c>
      <c r="E11" s="4" t="s">
        <v>27</v>
      </c>
      <c r="F11">
        <v>2</v>
      </c>
      <c r="G11">
        <v>98</v>
      </c>
      <c r="J11" s="4" t="s">
        <v>16</v>
      </c>
      <c r="K11" s="5">
        <v>528773250</v>
      </c>
      <c r="M11" t="s">
        <v>16</v>
      </c>
      <c r="N11" s="6">
        <v>528773250</v>
      </c>
      <c r="P11" s="7" t="s">
        <v>98</v>
      </c>
      <c r="R11">
        <v>1</v>
      </c>
      <c r="S11">
        <v>1</v>
      </c>
      <c r="T11">
        <v>1</v>
      </c>
      <c r="W11">
        <v>3</v>
      </c>
      <c r="Y11" s="4" t="s">
        <v>256</v>
      </c>
      <c r="Z11">
        <v>1</v>
      </c>
      <c r="AB11">
        <v>1</v>
      </c>
    </row>
    <row r="12" spans="1:28" x14ac:dyDescent="0.25">
      <c r="A12" s="4" t="s">
        <v>242</v>
      </c>
      <c r="B12" s="5">
        <v>1819000000</v>
      </c>
      <c r="C12" s="5">
        <v>10131697522</v>
      </c>
      <c r="E12" s="4" t="s">
        <v>39</v>
      </c>
      <c r="F12">
        <v>2</v>
      </c>
      <c r="G12">
        <v>95</v>
      </c>
      <c r="J12" s="4" t="s">
        <v>20</v>
      </c>
      <c r="K12" s="5">
        <v>631442092</v>
      </c>
      <c r="M12" t="s">
        <v>30</v>
      </c>
      <c r="N12" s="6">
        <v>743559607</v>
      </c>
      <c r="P12" s="4" t="s">
        <v>251</v>
      </c>
      <c r="Y12" s="4" t="s">
        <v>257</v>
      </c>
      <c r="AA12">
        <v>1</v>
      </c>
      <c r="AB12">
        <v>1</v>
      </c>
    </row>
    <row r="13" spans="1:28" x14ac:dyDescent="0.25">
      <c r="E13" s="4" t="s">
        <v>25</v>
      </c>
      <c r="F13">
        <v>2</v>
      </c>
      <c r="G13">
        <v>98</v>
      </c>
      <c r="J13" s="4" t="s">
        <v>3</v>
      </c>
      <c r="K13" s="5">
        <v>394436586</v>
      </c>
      <c r="M13" t="s">
        <v>3</v>
      </c>
      <c r="N13" s="6">
        <v>394436586</v>
      </c>
      <c r="P13" s="7" t="s">
        <v>98</v>
      </c>
      <c r="R13">
        <v>1</v>
      </c>
      <c r="S13">
        <v>1</v>
      </c>
      <c r="T13">
        <v>1</v>
      </c>
      <c r="W13">
        <v>3</v>
      </c>
      <c r="Y13" s="4" t="s">
        <v>258</v>
      </c>
      <c r="Z13">
        <v>1</v>
      </c>
      <c r="AB13">
        <v>1</v>
      </c>
    </row>
    <row r="14" spans="1:28" x14ac:dyDescent="0.25">
      <c r="E14" s="4" t="s">
        <v>242</v>
      </c>
      <c r="F14">
        <v>15</v>
      </c>
      <c r="G14">
        <v>953</v>
      </c>
      <c r="J14" s="4" t="s">
        <v>15</v>
      </c>
      <c r="K14" s="5">
        <v>511358276</v>
      </c>
      <c r="M14" t="s">
        <v>15</v>
      </c>
      <c r="N14" s="6">
        <v>511358276</v>
      </c>
      <c r="P14" s="4" t="s">
        <v>252</v>
      </c>
      <c r="Y14" s="4" t="s">
        <v>259</v>
      </c>
      <c r="Z14">
        <v>1</v>
      </c>
      <c r="AB14">
        <v>1</v>
      </c>
    </row>
    <row r="15" spans="1:28" x14ac:dyDescent="0.25">
      <c r="J15" s="4" t="s">
        <v>27</v>
      </c>
      <c r="K15" s="5">
        <v>1066969703</v>
      </c>
      <c r="M15" t="s">
        <v>27</v>
      </c>
      <c r="N15" s="6">
        <v>1066969703</v>
      </c>
      <c r="P15" s="7" t="s">
        <v>98</v>
      </c>
      <c r="R15">
        <v>1</v>
      </c>
      <c r="S15">
        <v>1</v>
      </c>
      <c r="T15">
        <v>1</v>
      </c>
      <c r="W15">
        <v>3</v>
      </c>
      <c r="Y15" s="4" t="s">
        <v>260</v>
      </c>
      <c r="AA15">
        <v>1</v>
      </c>
      <c r="AB15">
        <v>1</v>
      </c>
    </row>
    <row r="16" spans="1:28" x14ac:dyDescent="0.25">
      <c r="J16" s="4" t="s">
        <v>37</v>
      </c>
      <c r="K16" s="5">
        <v>1073394593</v>
      </c>
      <c r="M16" t="s">
        <v>37</v>
      </c>
      <c r="N16" s="6">
        <v>1073394593</v>
      </c>
      <c r="P16" s="4" t="s">
        <v>253</v>
      </c>
      <c r="Y16" s="4" t="s">
        <v>261</v>
      </c>
      <c r="Z16">
        <v>1</v>
      </c>
      <c r="AB16">
        <v>1</v>
      </c>
    </row>
    <row r="17" spans="10:28" x14ac:dyDescent="0.25">
      <c r="J17" s="4" t="s">
        <v>242</v>
      </c>
      <c r="K17" s="5">
        <v>12053733673</v>
      </c>
      <c r="P17" s="7" t="s">
        <v>104</v>
      </c>
      <c r="Q17">
        <v>1</v>
      </c>
      <c r="R17">
        <v>1</v>
      </c>
      <c r="S17">
        <v>1</v>
      </c>
      <c r="W17">
        <v>3</v>
      </c>
      <c r="Y17" s="4" t="s">
        <v>262</v>
      </c>
      <c r="AA17">
        <v>2</v>
      </c>
      <c r="AB17">
        <v>2</v>
      </c>
    </row>
    <row r="18" spans="10:28" x14ac:dyDescent="0.25">
      <c r="P18" s="4" t="s">
        <v>254</v>
      </c>
      <c r="Y18" s="4" t="s">
        <v>263</v>
      </c>
      <c r="AA18">
        <v>1</v>
      </c>
      <c r="AB18">
        <v>1</v>
      </c>
    </row>
    <row r="19" spans="10:28" x14ac:dyDescent="0.25">
      <c r="P19" s="7" t="s">
        <v>98</v>
      </c>
      <c r="R19">
        <v>1</v>
      </c>
      <c r="S19">
        <v>1</v>
      </c>
      <c r="T19">
        <v>1</v>
      </c>
      <c r="W19">
        <v>3</v>
      </c>
      <c r="Y19" s="4" t="s">
        <v>264</v>
      </c>
      <c r="Z19">
        <v>1</v>
      </c>
      <c r="AA19">
        <v>1</v>
      </c>
      <c r="AB19">
        <v>2</v>
      </c>
    </row>
    <row r="20" spans="10:28" x14ac:dyDescent="0.25">
      <c r="P20" s="4" t="s">
        <v>255</v>
      </c>
      <c r="Y20" s="4" t="s">
        <v>265</v>
      </c>
      <c r="AA20">
        <v>1</v>
      </c>
      <c r="AB20">
        <v>1</v>
      </c>
    </row>
    <row r="21" spans="10:28" x14ac:dyDescent="0.25">
      <c r="P21" s="7" t="s">
        <v>98</v>
      </c>
      <c r="R21">
        <v>1</v>
      </c>
      <c r="S21">
        <v>1</v>
      </c>
      <c r="T21">
        <v>1</v>
      </c>
      <c r="W21">
        <v>3</v>
      </c>
      <c r="Y21" s="4" t="s">
        <v>266</v>
      </c>
      <c r="Z21">
        <v>1</v>
      </c>
      <c r="AB21">
        <v>1</v>
      </c>
    </row>
    <row r="22" spans="10:28" x14ac:dyDescent="0.25">
      <c r="P22" s="4" t="s">
        <v>256</v>
      </c>
      <c r="Y22" s="4" t="s">
        <v>267</v>
      </c>
      <c r="AA22">
        <v>2</v>
      </c>
      <c r="AB22">
        <v>2</v>
      </c>
    </row>
    <row r="23" spans="10:28" x14ac:dyDescent="0.25">
      <c r="P23" s="7" t="s">
        <v>98</v>
      </c>
      <c r="R23">
        <v>1</v>
      </c>
      <c r="S23">
        <v>1</v>
      </c>
      <c r="V23">
        <v>1</v>
      </c>
      <c r="W23">
        <v>3</v>
      </c>
      <c r="Y23" s="4" t="s">
        <v>268</v>
      </c>
      <c r="AA23">
        <v>1</v>
      </c>
      <c r="AB23">
        <v>1</v>
      </c>
    </row>
    <row r="24" spans="10:28" x14ac:dyDescent="0.25">
      <c r="P24" s="4" t="s">
        <v>257</v>
      </c>
      <c r="Y24" s="4" t="s">
        <v>269</v>
      </c>
      <c r="AA24">
        <v>2</v>
      </c>
      <c r="AB24">
        <v>2</v>
      </c>
    </row>
    <row r="25" spans="10:28" x14ac:dyDescent="0.25">
      <c r="P25" s="7" t="s">
        <v>104</v>
      </c>
      <c r="R25">
        <v>1</v>
      </c>
      <c r="S25">
        <v>1</v>
      </c>
      <c r="T25">
        <v>1</v>
      </c>
      <c r="W25">
        <v>3</v>
      </c>
      <c r="Y25" s="4" t="s">
        <v>270</v>
      </c>
      <c r="AA25">
        <v>1</v>
      </c>
      <c r="AB25">
        <v>1</v>
      </c>
    </row>
    <row r="26" spans="10:28" x14ac:dyDescent="0.25">
      <c r="P26" s="4" t="s">
        <v>258</v>
      </c>
      <c r="Y26" s="4" t="s">
        <v>271</v>
      </c>
      <c r="AA26">
        <v>1</v>
      </c>
      <c r="AB26">
        <v>1</v>
      </c>
    </row>
    <row r="27" spans="10:28" x14ac:dyDescent="0.25">
      <c r="P27" s="7" t="s">
        <v>98</v>
      </c>
      <c r="R27">
        <v>1</v>
      </c>
      <c r="S27">
        <v>1</v>
      </c>
      <c r="T27">
        <v>1</v>
      </c>
      <c r="W27">
        <v>3</v>
      </c>
      <c r="Y27" s="4" t="s">
        <v>242</v>
      </c>
      <c r="Z27">
        <v>13</v>
      </c>
      <c r="AA27">
        <v>15</v>
      </c>
      <c r="AB27">
        <v>28</v>
      </c>
    </row>
    <row r="28" spans="10:28" x14ac:dyDescent="0.25">
      <c r="P28" s="4" t="s">
        <v>259</v>
      </c>
    </row>
    <row r="29" spans="10:28" x14ac:dyDescent="0.25">
      <c r="P29" s="7" t="s">
        <v>98</v>
      </c>
      <c r="R29">
        <v>1</v>
      </c>
      <c r="S29">
        <v>1</v>
      </c>
      <c r="T29">
        <v>1</v>
      </c>
      <c r="W29">
        <v>3</v>
      </c>
    </row>
    <row r="30" spans="10:28" x14ac:dyDescent="0.25">
      <c r="P30" s="4" t="s">
        <v>260</v>
      </c>
    </row>
    <row r="31" spans="10:28" x14ac:dyDescent="0.25">
      <c r="P31" s="7" t="s">
        <v>104</v>
      </c>
      <c r="Q31">
        <v>1</v>
      </c>
      <c r="R31">
        <v>1</v>
      </c>
      <c r="S31">
        <v>1</v>
      </c>
      <c r="W31">
        <v>3</v>
      </c>
    </row>
    <row r="32" spans="10:28" x14ac:dyDescent="0.25">
      <c r="P32" s="4" t="s">
        <v>261</v>
      </c>
    </row>
    <row r="33" spans="16:23" x14ac:dyDescent="0.25">
      <c r="P33" s="7" t="s">
        <v>98</v>
      </c>
      <c r="R33">
        <v>1</v>
      </c>
      <c r="S33">
        <v>1</v>
      </c>
      <c r="T33">
        <v>1</v>
      </c>
      <c r="W33">
        <v>3</v>
      </c>
    </row>
    <row r="34" spans="16:23" x14ac:dyDescent="0.25">
      <c r="P34" s="4" t="s">
        <v>262</v>
      </c>
    </row>
    <row r="35" spans="16:23" x14ac:dyDescent="0.25">
      <c r="P35" s="7" t="s">
        <v>104</v>
      </c>
      <c r="Q35">
        <v>1</v>
      </c>
      <c r="R35">
        <v>2</v>
      </c>
      <c r="S35">
        <v>2</v>
      </c>
      <c r="T35">
        <v>1</v>
      </c>
      <c r="W35">
        <v>6</v>
      </c>
    </row>
    <row r="36" spans="16:23" x14ac:dyDescent="0.25">
      <c r="P36" s="4" t="s">
        <v>263</v>
      </c>
    </row>
    <row r="37" spans="16:23" x14ac:dyDescent="0.25">
      <c r="P37" s="7" t="s">
        <v>104</v>
      </c>
      <c r="R37">
        <v>1</v>
      </c>
      <c r="S37">
        <v>1</v>
      </c>
      <c r="T37">
        <v>1</v>
      </c>
      <c r="W37">
        <v>3</v>
      </c>
    </row>
    <row r="38" spans="16:23" x14ac:dyDescent="0.25">
      <c r="P38" s="4" t="s">
        <v>264</v>
      </c>
    </row>
    <row r="39" spans="16:23" x14ac:dyDescent="0.25">
      <c r="P39" s="7" t="s">
        <v>98</v>
      </c>
      <c r="R39">
        <v>1</v>
      </c>
      <c r="S39">
        <v>1</v>
      </c>
      <c r="T39">
        <v>1</v>
      </c>
      <c r="W39">
        <v>3</v>
      </c>
    </row>
    <row r="40" spans="16:23" x14ac:dyDescent="0.25">
      <c r="P40" s="7" t="s">
        <v>104</v>
      </c>
      <c r="R40">
        <v>1</v>
      </c>
      <c r="S40">
        <v>1</v>
      </c>
      <c r="U40">
        <v>1</v>
      </c>
      <c r="W40">
        <v>3</v>
      </c>
    </row>
    <row r="41" spans="16:23" x14ac:dyDescent="0.25">
      <c r="P41" s="4" t="s">
        <v>265</v>
      </c>
    </row>
    <row r="42" spans="16:23" x14ac:dyDescent="0.25">
      <c r="P42" s="7" t="s">
        <v>104</v>
      </c>
      <c r="Q42">
        <v>1</v>
      </c>
      <c r="R42">
        <v>1</v>
      </c>
      <c r="S42">
        <v>1</v>
      </c>
      <c r="W42">
        <v>3</v>
      </c>
    </row>
    <row r="43" spans="16:23" x14ac:dyDescent="0.25">
      <c r="P43" s="4" t="s">
        <v>266</v>
      </c>
    </row>
    <row r="44" spans="16:23" x14ac:dyDescent="0.25">
      <c r="P44" s="7" t="s">
        <v>98</v>
      </c>
      <c r="R44">
        <v>1</v>
      </c>
      <c r="S44">
        <v>1</v>
      </c>
      <c r="T44">
        <v>1</v>
      </c>
      <c r="W44">
        <v>3</v>
      </c>
    </row>
    <row r="45" spans="16:23" x14ac:dyDescent="0.25">
      <c r="P45" s="4" t="s">
        <v>267</v>
      </c>
    </row>
    <row r="46" spans="16:23" x14ac:dyDescent="0.25">
      <c r="P46" s="7" t="s">
        <v>104</v>
      </c>
      <c r="R46">
        <v>2</v>
      </c>
      <c r="S46">
        <v>2</v>
      </c>
      <c r="T46">
        <v>2</v>
      </c>
      <c r="W46">
        <v>6</v>
      </c>
    </row>
    <row r="47" spans="16:23" x14ac:dyDescent="0.25">
      <c r="P47" s="4" t="s">
        <v>268</v>
      </c>
    </row>
    <row r="48" spans="16:23" x14ac:dyDescent="0.25">
      <c r="P48" s="7" t="s">
        <v>104</v>
      </c>
      <c r="R48">
        <v>1</v>
      </c>
      <c r="S48">
        <v>1</v>
      </c>
      <c r="T48">
        <v>1</v>
      </c>
      <c r="W48">
        <v>3</v>
      </c>
    </row>
    <row r="49" spans="16:23" x14ac:dyDescent="0.25">
      <c r="P49" s="4" t="s">
        <v>269</v>
      </c>
    </row>
    <row r="50" spans="16:23" x14ac:dyDescent="0.25">
      <c r="P50" s="7" t="s">
        <v>104</v>
      </c>
      <c r="Q50">
        <v>1</v>
      </c>
      <c r="R50">
        <v>2</v>
      </c>
      <c r="S50">
        <v>2</v>
      </c>
      <c r="T50">
        <v>1</v>
      </c>
      <c r="W50">
        <v>6</v>
      </c>
    </row>
    <row r="51" spans="16:23" x14ac:dyDescent="0.25">
      <c r="P51" s="4" t="s">
        <v>270</v>
      </c>
    </row>
    <row r="52" spans="16:23" x14ac:dyDescent="0.25">
      <c r="P52" s="7" t="s">
        <v>104</v>
      </c>
      <c r="R52">
        <v>1</v>
      </c>
      <c r="S52">
        <v>1</v>
      </c>
      <c r="T52">
        <v>1</v>
      </c>
      <c r="W52">
        <v>3</v>
      </c>
    </row>
    <row r="53" spans="16:23" x14ac:dyDescent="0.25">
      <c r="P53" s="4" t="s">
        <v>271</v>
      </c>
    </row>
    <row r="54" spans="16:23" x14ac:dyDescent="0.25">
      <c r="P54" s="7" t="s">
        <v>104</v>
      </c>
      <c r="R54">
        <v>1</v>
      </c>
      <c r="S54">
        <v>1</v>
      </c>
      <c r="T54">
        <v>1</v>
      </c>
      <c r="W54">
        <v>3</v>
      </c>
    </row>
    <row r="55" spans="16:23" x14ac:dyDescent="0.25">
      <c r="P55" s="4" t="s">
        <v>242</v>
      </c>
      <c r="Q55">
        <v>5</v>
      </c>
      <c r="R55">
        <v>28</v>
      </c>
      <c r="S55">
        <v>28</v>
      </c>
      <c r="T55">
        <v>21</v>
      </c>
      <c r="U55">
        <v>1</v>
      </c>
      <c r="V55">
        <v>1</v>
      </c>
      <c r="W55">
        <v>84</v>
      </c>
    </row>
  </sheetData>
  <pageMargins left="0.7" right="0.7" top="0.75" bottom="0.75" header="0.3" footer="0.3"/>
  <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8B510-F2BB-4109-BBD0-D275712383E7}">
  <dimension ref="A1"/>
  <sheetViews>
    <sheetView showGridLines="0" tabSelected="1" topLeftCell="A15" zoomScale="30" zoomScaleNormal="25" workbookViewId="0">
      <selection activeCell="AT49" sqref="AT49"/>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F55CD1DA-B7CE-4BFC-873A-79D066843EC6}">
  <ds:schemaRefs/>
</ds:datastoreItem>
</file>

<file path=customXml/itemProps2.xml><?xml version="1.0" encoding="utf-8"?>
<ds:datastoreItem xmlns:ds="http://schemas.openxmlformats.org/officeDocument/2006/customXml" ds:itemID="{1E946BEB-81A6-48E9-9513-F01D863038A4}">
  <ds:schemaRefs/>
</ds:datastoreItem>
</file>

<file path=customXml/itemProps3.xml><?xml version="1.0" encoding="utf-8"?>
<ds:datastoreItem xmlns:ds="http://schemas.openxmlformats.org/officeDocument/2006/customXml" ds:itemID="{7C92BA67-0A9A-489B-ABCB-F16A80B7160E}">
  <ds:schemaRefs/>
</ds:datastoreItem>
</file>

<file path=customXml/itemProps4.xml><?xml version="1.0" encoding="utf-8"?>
<ds:datastoreItem xmlns:ds="http://schemas.openxmlformats.org/officeDocument/2006/customXml" ds:itemID="{256B89DF-7EAF-46FC-87B3-67DFD9BC66AB}">
  <ds:schemaRefs/>
</ds:datastoreItem>
</file>

<file path=customXml/itemProps5.xml><?xml version="1.0" encoding="utf-8"?>
<ds:datastoreItem xmlns:ds="http://schemas.openxmlformats.org/officeDocument/2006/customXml" ds:itemID="{54BBC6FD-0EB0-42E6-98ED-42CBF33B1CC1}">
  <ds:schemaRefs/>
</ds:datastoreItem>
</file>

<file path=customXml/itemProps6.xml><?xml version="1.0" encoding="utf-8"?>
<ds:datastoreItem xmlns:ds="http://schemas.openxmlformats.org/officeDocument/2006/customXml" ds:itemID="{91B002E0-6081-4499-9939-F3EAF2E23213}">
  <ds:schemaRefs/>
</ds:datastoreItem>
</file>

<file path=customXml/itemProps7.xml><?xml version="1.0" encoding="utf-8"?>
<ds:datastoreItem xmlns:ds="http://schemas.openxmlformats.org/officeDocument/2006/customXml" ds:itemID="{19203B96-1EBC-4615-BC36-09E6C18F50F3}">
  <ds:schemaRefs/>
</ds:datastoreItem>
</file>

<file path=customXml/itemProps8.xml><?xml version="1.0" encoding="utf-8"?>
<ds:datastoreItem xmlns:ds="http://schemas.openxmlformats.org/officeDocument/2006/customXml" ds:itemID="{83DD2267-FEC9-4C79-A4F5-DE0FC632C593}">
  <ds:schemaRefs/>
</ds:datastoreItem>
</file>

<file path=customXml/itemProps9.xml><?xml version="1.0" encoding="utf-8"?>
<ds:datastoreItem xmlns:ds="http://schemas.openxmlformats.org/officeDocument/2006/customXml" ds:itemID="{70EA89B0-3717-4918-8480-3A4D1062CF3E}">
  <ds:schemaRefs/>
</ds:datastoreItem>
</file>

<file path=customXml/itemProps10.xml><?xml version="1.0" encoding="utf-8"?>
<ds:datastoreItem xmlns:ds="http://schemas.openxmlformats.org/officeDocument/2006/customXml" ds:itemID="{DD7848F4-6F18-4AE3-80F5-4F8B1BD3236B}">
  <ds:schemaRefs/>
</ds:datastoreItem>
</file>

<file path=customXml/itemProps11.xml><?xml version="1.0" encoding="utf-8"?>
<ds:datastoreItem xmlns:ds="http://schemas.openxmlformats.org/officeDocument/2006/customXml" ds:itemID="{9E65505A-654E-43C6-A265-F4523FE03744}">
  <ds:schemaRefs/>
</ds:datastoreItem>
</file>

<file path=customXml/itemProps12.xml><?xml version="1.0" encoding="utf-8"?>
<ds:datastoreItem xmlns:ds="http://schemas.openxmlformats.org/officeDocument/2006/customXml" ds:itemID="{BC8DC3C6-1370-429A-B382-6C05393C4DFA}">
  <ds:schemaRefs/>
</ds:datastoreItem>
</file>

<file path=customXml/itemProps13.xml><?xml version="1.0" encoding="utf-8"?>
<ds:datastoreItem xmlns:ds="http://schemas.openxmlformats.org/officeDocument/2006/customXml" ds:itemID="{6437D194-B8D3-4C9D-82DC-F45559D777EA}">
  <ds:schemaRefs/>
</ds:datastoreItem>
</file>

<file path=customXml/itemProps14.xml><?xml version="1.0" encoding="utf-8"?>
<ds:datastoreItem xmlns:ds="http://schemas.openxmlformats.org/officeDocument/2006/customXml" ds:itemID="{E0DFC09F-0106-48AF-B019-267FD851A3D7}">
  <ds:schemaRefs/>
</ds:datastoreItem>
</file>

<file path=customXml/itemProps15.xml><?xml version="1.0" encoding="utf-8"?>
<ds:datastoreItem xmlns:ds="http://schemas.openxmlformats.org/officeDocument/2006/customXml" ds:itemID="{FA2B9EE0-8ACC-4C62-9672-363D98AB1689}">
  <ds:schemaRefs/>
</ds:datastoreItem>
</file>

<file path=customXml/itemProps16.xml><?xml version="1.0" encoding="utf-8"?>
<ds:datastoreItem xmlns:ds="http://schemas.openxmlformats.org/officeDocument/2006/customXml" ds:itemID="{8E5403E4-A2C8-4887-B7AF-B6447D4518DC}">
  <ds:schemaRefs/>
</ds:datastoreItem>
</file>

<file path=customXml/itemProps17.xml><?xml version="1.0" encoding="utf-8"?>
<ds:datastoreItem xmlns:ds="http://schemas.openxmlformats.org/officeDocument/2006/customXml" ds:itemID="{F0A56A2A-FA35-4DE2-A5C9-DA8E4E496D8B}">
  <ds:schemaRefs/>
</ds:datastoreItem>
</file>

<file path=customXml/itemProps18.xml><?xml version="1.0" encoding="utf-8"?>
<ds:datastoreItem xmlns:ds="http://schemas.openxmlformats.org/officeDocument/2006/customXml" ds:itemID="{2CDD84FC-1539-45D2-8544-6A9108AD37D6}">
  <ds:schemaRefs/>
</ds:datastoreItem>
</file>

<file path=customXml/itemProps19.xml><?xml version="1.0" encoding="utf-8"?>
<ds:datastoreItem xmlns:ds="http://schemas.openxmlformats.org/officeDocument/2006/customXml" ds:itemID="{D192C0CF-A07E-45B2-B3FC-10C50947FD31}">
  <ds:schemaRefs/>
</ds:datastoreItem>
</file>

<file path=customXml/itemProps20.xml><?xml version="1.0" encoding="utf-8"?>
<ds:datastoreItem xmlns:ds="http://schemas.openxmlformats.org/officeDocument/2006/customXml" ds:itemID="{93A5F148-9ACB-45F2-AB80-1D5C9C37FAEB}">
  <ds:schemaRefs/>
</ds:datastoreItem>
</file>

<file path=customXml/itemProps21.xml><?xml version="1.0" encoding="utf-8"?>
<ds:datastoreItem xmlns:ds="http://schemas.openxmlformats.org/officeDocument/2006/customXml" ds:itemID="{6844709C-B68C-407B-B0BB-0ED7A03E67E5}">
  <ds:schemaRefs/>
</ds:datastoreItem>
</file>

<file path=customXml/itemProps22.xml><?xml version="1.0" encoding="utf-8"?>
<ds:datastoreItem xmlns:ds="http://schemas.openxmlformats.org/officeDocument/2006/customXml" ds:itemID="{06FCAE5D-4F37-409B-BCB3-E2E1A4BBA69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Academy</vt:lpstr>
      <vt:lpstr>Box Office</vt:lpstr>
      <vt:lpstr>Genre</vt:lpstr>
      <vt:lpstr>Pixar Films</vt:lpstr>
      <vt:lpstr>Pixar People</vt:lpstr>
      <vt:lpstr>People Response</vt:lpstr>
      <vt:lpstr>pivot tables</vt:lpstr>
      <vt:lpst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 820</dc:creator>
  <cp:lastModifiedBy>Michael</cp:lastModifiedBy>
  <dcterms:created xsi:type="dcterms:W3CDTF">2026-08-31T23:45:04Z</dcterms:created>
  <dcterms:modified xsi:type="dcterms:W3CDTF">2026-09-08T15:04:40Z</dcterms:modified>
</cp:coreProperties>
</file>